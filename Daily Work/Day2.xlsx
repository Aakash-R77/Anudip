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 Mitra\Desktop\Anudip\Daily Work\"/>
    </mc:Choice>
  </mc:AlternateContent>
  <xr:revisionPtr revIDLastSave="0" documentId="13_ncr:1_{CF944A80-CADA-4A6F-840B-C4FC4C6C26C2}" xr6:coauthVersionLast="47" xr6:coauthVersionMax="47" xr10:uidLastSave="{00000000-0000-0000-0000-000000000000}"/>
  <bookViews>
    <workbookView xWindow="-120" yWindow="-120" windowWidth="29040" windowHeight="15840" xr2:uid="{6EE4C9FC-C35B-43DB-80D3-A9DB0B42E4C0}"/>
  </bookViews>
  <sheets>
    <sheet name="Sales_Data_S" sheetId="1" r:id="rId1"/>
  </sheets>
  <definedNames>
    <definedName name="sale">Sales_Data_S!$A$1:$L$101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1" i="1" l="1"/>
  <c r="P15" i="1" a="1"/>
  <c r="P15" i="1" s="1"/>
  <c r="P20" i="1" a="1"/>
  <c r="P20" i="1" s="1"/>
  <c r="P19" i="1" a="1"/>
  <c r="P19" i="1" s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<sst xmlns="http://schemas.openxmlformats.org/spreadsheetml/2006/main" count="627" uniqueCount="142">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</sst>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Century Gothic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/>
    <xf numFmtId="0" fontId="20" fillId="34" borderId="10" xfId="0" applyFont="1" applyFill="1" applyBorder="1"/>
    <xf numFmtId="14" fontId="20" fillId="34" borderId="10" xfId="0" applyNumberFormat="1" applyFont="1" applyFill="1" applyBorder="1"/>
    <xf numFmtId="0" fontId="18" fillId="0" borderId="0" xfId="0" applyFont="1"/>
    <xf numFmtId="0" fontId="18" fillId="35" borderId="10" xfId="0" applyFont="1" applyFill="1" applyBorder="1"/>
    <xf numFmtId="0" fontId="18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92C8-9764-4995-A088-DEC6B91EDB2D}">
  <dimension ref="A1:Q101"/>
  <sheetViews>
    <sheetView tabSelected="1" workbookViewId="0">
      <selection activeCell="P21" sqref="P21"/>
    </sheetView>
  </sheetViews>
  <sheetFormatPr defaultRowHeight="15" x14ac:dyDescent="0.25"/>
  <cols>
    <col min="1" max="1" width="11" bestFit="1" customWidth="1"/>
    <col min="2" max="2" width="12.7109375" bestFit="1" customWidth="1"/>
    <col min="3" max="3" width="18.28515625" bestFit="1" customWidth="1"/>
    <col min="4" max="4" width="8.42578125" bestFit="1" customWidth="1"/>
    <col min="5" max="5" width="16.5703125" bestFit="1" customWidth="1"/>
    <col min="6" max="6" width="15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11.85546875" bestFit="1" customWidth="1"/>
    <col min="11" max="11" width="9" bestFit="1" customWidth="1"/>
    <col min="12" max="12" width="17.28515625" bestFit="1" customWidth="1"/>
    <col min="15" max="15" width="11" bestFit="1" customWidth="1"/>
    <col min="16" max="16" width="18.140625" bestFit="1" customWidth="1"/>
    <col min="17" max="17" width="1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ht="16.5" x14ac:dyDescent="0.3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7" ht="16.5" x14ac:dyDescent="0.3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  <c r="O3" s="5" t="s">
        <v>0</v>
      </c>
      <c r="P3" s="5" t="s">
        <v>2</v>
      </c>
    </row>
    <row r="4" spans="1:17" ht="16.5" x14ac:dyDescent="0.3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  <c r="O4" s="6" t="s">
        <v>41</v>
      </c>
      <c r="P4" s="6" t="str">
        <f>VLOOKUP(O4,A1:L101,3,0)</f>
        <v>Karan</v>
      </c>
    </row>
    <row r="5" spans="1:17" ht="16.5" x14ac:dyDescent="0.3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  <c r="O5" s="4"/>
      <c r="P5" s="4"/>
      <c r="Q5" s="4"/>
    </row>
    <row r="6" spans="1:17" ht="16.5" x14ac:dyDescent="0.3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  <c r="O6" s="4"/>
      <c r="P6" s="4"/>
      <c r="Q6" s="4"/>
    </row>
    <row r="7" spans="1:17" ht="16.5" x14ac:dyDescent="0.3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  <c r="O7" s="4" t="s">
        <v>0</v>
      </c>
      <c r="P7" s="4" t="s">
        <v>2</v>
      </c>
      <c r="Q7" s="4"/>
    </row>
    <row r="8" spans="1:17" ht="16.5" x14ac:dyDescent="0.3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  <c r="O8" s="4"/>
      <c r="P8" s="4"/>
      <c r="Q8" s="4"/>
    </row>
    <row r="9" spans="1:17" ht="16.5" x14ac:dyDescent="0.3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  <c r="O9" s="4"/>
      <c r="P9" s="4"/>
      <c r="Q9" s="4"/>
    </row>
    <row r="10" spans="1:17" ht="16.5" x14ac:dyDescent="0.3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  <c r="O10" s="4"/>
      <c r="P10" s="4"/>
      <c r="Q10" s="4"/>
    </row>
    <row r="11" spans="1:17" ht="16.5" x14ac:dyDescent="0.3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  <c r="O11" s="4"/>
      <c r="P11" s="4"/>
      <c r="Q11" s="4"/>
    </row>
    <row r="12" spans="1:17" ht="16.5" x14ac:dyDescent="0.3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  <c r="O12" s="4"/>
      <c r="P12" s="4"/>
      <c r="Q12" s="4"/>
    </row>
    <row r="13" spans="1:17" ht="16.5" x14ac:dyDescent="0.3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  <c r="O13" s="4"/>
      <c r="P13" s="4"/>
      <c r="Q13" s="4"/>
    </row>
    <row r="14" spans="1:17" ht="16.5" x14ac:dyDescent="0.3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  <c r="O14" s="5" t="s">
        <v>0</v>
      </c>
      <c r="P14" s="5" t="s">
        <v>2</v>
      </c>
      <c r="Q14" s="5" t="s">
        <v>3</v>
      </c>
    </row>
    <row r="15" spans="1:17" ht="16.5" x14ac:dyDescent="0.3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  <c r="O15" s="6" t="s">
        <v>58</v>
      </c>
      <c r="P15" s="6" t="str" cm="1">
        <f t="array" ref="P15:Q15">VLOOKUP(O15,sale,{3,4},0)</f>
        <v>Neha</v>
      </c>
      <c r="Q15" s="6" t="str">
        <v>West</v>
      </c>
    </row>
    <row r="16" spans="1:17" ht="16.5" x14ac:dyDescent="0.3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  <c r="O16" s="4"/>
      <c r="P16" s="4"/>
      <c r="Q16" s="4"/>
    </row>
    <row r="17" spans="1:17" ht="16.5" x14ac:dyDescent="0.3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  <c r="O17" s="4"/>
      <c r="P17" s="4"/>
      <c r="Q17" s="4"/>
    </row>
    <row r="18" spans="1:17" ht="16.5" x14ac:dyDescent="0.3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  <c r="O18" s="5" t="s">
        <v>0</v>
      </c>
      <c r="P18" s="5" t="s">
        <v>2</v>
      </c>
      <c r="Q18" s="5" t="s">
        <v>9</v>
      </c>
    </row>
    <row r="19" spans="1:17" ht="16.5" x14ac:dyDescent="0.3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  <c r="O19" s="6" t="s">
        <v>41</v>
      </c>
      <c r="P19" s="6" t="str" cm="1">
        <f t="array" ref="P19:Q19">VLOOKUP(O19,A2:L101,{3,10},0)</f>
        <v>Karan</v>
      </c>
      <c r="Q19" s="6">
        <v>2600.9299999999998</v>
      </c>
    </row>
    <row r="20" spans="1:17" ht="16.5" x14ac:dyDescent="0.3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  <c r="O20" s="6" t="s">
        <v>41</v>
      </c>
      <c r="P20" s="6" t="str" cm="1">
        <f t="array" ref="P20:Q20">VLOOKUP(O20,sale,{3,10},0)</f>
        <v>Karan</v>
      </c>
      <c r="Q20" s="6">
        <v>2600.9299999999998</v>
      </c>
    </row>
    <row r="21" spans="1:17" ht="16.5" x14ac:dyDescent="0.3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  <c r="O21" s="6" t="s">
        <v>32</v>
      </c>
      <c r="P21" s="6" t="str">
        <f>VLOOKUP(O21,sale,MATCH(P18,A1:L1),0)</f>
        <v>Sneha</v>
      </c>
      <c r="Q21" s="6"/>
    </row>
    <row r="22" spans="1:17" ht="16.5" x14ac:dyDescent="0.3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7" ht="16.5" x14ac:dyDescent="0.3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7" ht="16.5" x14ac:dyDescent="0.3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7" ht="16.5" x14ac:dyDescent="0.3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7" ht="16.5" x14ac:dyDescent="0.3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7" ht="16.5" x14ac:dyDescent="0.3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7" ht="16.5" x14ac:dyDescent="0.3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7" ht="16.5" x14ac:dyDescent="0.3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7" ht="16.5" x14ac:dyDescent="0.3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7" ht="16.5" x14ac:dyDescent="0.3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7" ht="16.5" x14ac:dyDescent="0.3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ht="16.5" x14ac:dyDescent="0.3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ht="16.5" x14ac:dyDescent="0.3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ht="16.5" x14ac:dyDescent="0.3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ht="16.5" x14ac:dyDescent="0.3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ht="16.5" x14ac:dyDescent="0.3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ht="16.5" x14ac:dyDescent="0.3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ht="16.5" x14ac:dyDescent="0.3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ht="16.5" x14ac:dyDescent="0.3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ht="16.5" x14ac:dyDescent="0.3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ht="16.5" x14ac:dyDescent="0.3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ht="16.5" x14ac:dyDescent="0.3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ht="16.5" x14ac:dyDescent="0.3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ht="16.5" x14ac:dyDescent="0.3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ht="16.5" x14ac:dyDescent="0.3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ht="16.5" x14ac:dyDescent="0.3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ht="16.5" x14ac:dyDescent="0.3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ht="16.5" x14ac:dyDescent="0.3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ht="16.5" x14ac:dyDescent="0.3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ht="16.5" x14ac:dyDescent="0.3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ht="16.5" x14ac:dyDescent="0.3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ht="16.5" x14ac:dyDescent="0.3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ht="16.5" x14ac:dyDescent="0.3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ht="16.5" x14ac:dyDescent="0.3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ht="16.5" x14ac:dyDescent="0.3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ht="16.5" x14ac:dyDescent="0.3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ht="16.5" x14ac:dyDescent="0.3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ht="16.5" x14ac:dyDescent="0.3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ht="16.5" x14ac:dyDescent="0.3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ht="16.5" x14ac:dyDescent="0.3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ht="16.5" x14ac:dyDescent="0.3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ht="16.5" x14ac:dyDescent="0.3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ht="16.5" x14ac:dyDescent="0.3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ht="16.5" x14ac:dyDescent="0.3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ht="16.5" x14ac:dyDescent="0.3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ht="16.5" x14ac:dyDescent="0.3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ht="16.5" x14ac:dyDescent="0.3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ht="16.5" x14ac:dyDescent="0.3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ht="16.5" x14ac:dyDescent="0.3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ht="16.5" x14ac:dyDescent="0.3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ht="16.5" x14ac:dyDescent="0.3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ht="16.5" x14ac:dyDescent="0.3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ht="16.5" x14ac:dyDescent="0.3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ht="16.5" x14ac:dyDescent="0.3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ht="16.5" x14ac:dyDescent="0.3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ht="16.5" x14ac:dyDescent="0.3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ht="16.5" x14ac:dyDescent="0.3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ht="16.5" x14ac:dyDescent="0.3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ht="16.5" x14ac:dyDescent="0.3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ht="16.5" x14ac:dyDescent="0.3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ht="16.5" x14ac:dyDescent="0.3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ht="16.5" x14ac:dyDescent="0.3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ht="16.5" x14ac:dyDescent="0.3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ht="16.5" x14ac:dyDescent="0.3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ht="16.5" x14ac:dyDescent="0.3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ht="16.5" x14ac:dyDescent="0.3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ht="16.5" x14ac:dyDescent="0.3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ht="16.5" x14ac:dyDescent="0.3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ht="16.5" x14ac:dyDescent="0.3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ht="16.5" x14ac:dyDescent="0.3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ht="16.5" x14ac:dyDescent="0.3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ht="16.5" x14ac:dyDescent="0.3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ht="16.5" x14ac:dyDescent="0.3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ht="16.5" x14ac:dyDescent="0.3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ht="16.5" x14ac:dyDescent="0.3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ht="16.5" x14ac:dyDescent="0.3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ht="16.5" x14ac:dyDescent="0.3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ht="16.5" x14ac:dyDescent="0.3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ht="16.5" x14ac:dyDescent="0.3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ht="16.5" x14ac:dyDescent="0.3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dataValidations count="1">
    <dataValidation type="list" allowBlank="1" showInputMessage="1" showErrorMessage="1" sqref="O15" xr:uid="{201B5312-F060-41BD-8F33-20E783467F85}">
      <formula1>$A$2:$A$101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Sales_Data_S</vt:lpstr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Mitra</dc:creator>
  <cp:lastModifiedBy>Aakash Mitra</cp:lastModifiedBy>
  <dcterms:created xsi:type="dcterms:W3CDTF">2025-11-24T06:49:36Z</dcterms:created>
  <dcterms:modified xsi:type="dcterms:W3CDTF">2025-12-04T18:00:56Z</dcterms:modified>
</cp:coreProperties>
</file>
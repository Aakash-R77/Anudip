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23AAF65F-0382-418A-8317-D3659DAD79E7}" xr6:coauthVersionLast="47" xr6:coauthVersionMax="47" xr10:uidLastSave="{00000000-0000-0000-0000-000000000000}"/>
  <bookViews>
    <workbookView xWindow="-120" yWindow="-120" windowWidth="29040" windowHeight="15840" xr2:uid="{A426C3BB-B141-45B4-AD96-B37AE67C077F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2" l="1"/>
  <c r="P13" i="2"/>
  <c r="P14" i="2"/>
  <c r="P15" i="2"/>
  <c r="P16" i="2"/>
  <c r="P12" i="2"/>
  <c r="I12" i="2"/>
  <c r="O17" i="2"/>
  <c r="N17" i="2"/>
  <c r="M17" i="2"/>
  <c r="L17" i="2"/>
  <c r="K17" i="2"/>
  <c r="J17" i="2"/>
  <c r="I17" i="2"/>
  <c r="O16" i="2"/>
  <c r="N16" i="2"/>
  <c r="M16" i="2"/>
  <c r="L16" i="2"/>
  <c r="K16" i="2"/>
  <c r="J16" i="2"/>
  <c r="I16" i="2"/>
  <c r="O15" i="2"/>
  <c r="N15" i="2"/>
  <c r="M15" i="2"/>
  <c r="L15" i="2"/>
  <c r="K15" i="2"/>
  <c r="J15" i="2"/>
  <c r="I15" i="2"/>
  <c r="O14" i="2"/>
  <c r="N14" i="2"/>
  <c r="M14" i="2"/>
  <c r="L14" i="2"/>
  <c r="K14" i="2"/>
  <c r="J14" i="2"/>
  <c r="I14" i="2"/>
  <c r="O13" i="2"/>
  <c r="N13" i="2"/>
  <c r="M13" i="2"/>
  <c r="L13" i="2"/>
  <c r="K13" i="2"/>
  <c r="J13" i="2"/>
  <c r="I13" i="2"/>
  <c r="O12" i="2"/>
  <c r="N12" i="2"/>
  <c r="M12" i="2"/>
  <c r="L12" i="2"/>
  <c r="K12" i="2"/>
  <c r="J12" i="2"/>
</calcChain>
</file>

<file path=xl/sharedStrings.xml><?xml version="1.0" encoding="utf-8"?>
<sst xmlns="http://schemas.openxmlformats.org/spreadsheetml/2006/main" count="26" uniqueCount="23">
  <si>
    <t>ProductID</t>
  </si>
  <si>
    <t>Product</t>
  </si>
  <si>
    <t>Sales</t>
  </si>
  <si>
    <t>Target</t>
  </si>
  <si>
    <t>Region</t>
  </si>
  <si>
    <t>Target Complete</t>
  </si>
  <si>
    <t>Bonus</t>
  </si>
  <si>
    <t>Commission</t>
  </si>
  <si>
    <t>Performance</t>
  </si>
  <si>
    <t>Price Tier</t>
  </si>
  <si>
    <t>Performer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</si>
  <si>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</si>
  <si>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</si>
  <si>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</si>
  <si>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</si>
  <si>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</si>
  <si>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</si>
  <si>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</si>
  <si>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</si>
  <si>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</si>
  <si>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</si>
  <si>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Year End Bonus</t>
  </si>
  <si>
    <t>Assignment-1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</si>
</sst>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22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5460-2575-4344-8466-15B13C5815C4}">
  <dimension ref="D3:P17"/>
  <sheetViews>
    <sheetView tabSelected="1" zoomScaleNormal="100" workbookViewId="0">
      <selection activeCell="J15" sqref="J15"/>
    </sheetView>
  </sheetViews>
  <sheetFormatPr defaultRowHeight="14.25"/>
  <cols>
    <col min="1" max="2" width="10.25" bestFit="1" customWidth="1"/>
    <col min="3" max="3" width="8.75" bestFit="1" customWidth="1"/>
    <col min="4" max="4" width="13.625" bestFit="1" customWidth="1"/>
    <col min="5" max="5" width="14.125" bestFit="1" customWidth="1"/>
    <col min="6" max="6" width="7.625" bestFit="1" customWidth="1"/>
    <col min="7" max="7" width="9" bestFit="1" customWidth="1"/>
    <col min="8" max="8" width="9.875" bestFit="1" customWidth="1"/>
    <col min="9" max="9" width="22.625" bestFit="1" customWidth="1"/>
    <col min="10" max="10" width="15.25" bestFit="1" customWidth="1"/>
    <col min="11" max="11" width="16.625" bestFit="1" customWidth="1"/>
    <col min="12" max="12" width="8.625" bestFit="1" customWidth="1"/>
    <col min="13" max="13" width="27.375" bestFit="1" customWidth="1"/>
    <col min="14" max="14" width="12.375" bestFit="1" customWidth="1"/>
    <col min="15" max="15" width="21" bestFit="1" customWidth="1"/>
    <col min="16" max="16" width="28.25" bestFit="1" customWidth="1"/>
  </cols>
  <sheetData>
    <row r="3" spans="4:16" ht="15" thickBot="1"/>
    <row r="4" spans="4:16" ht="26.25" customHeight="1" thickBot="1">
      <c r="D4" s="1" t="s">
        <v>22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10" spans="4:16" ht="15" thickBot="1"/>
    <row r="11" spans="4:16" ht="20.25">
      <c r="D11" s="4" t="s">
        <v>0</v>
      </c>
      <c r="E11" s="5" t="s">
        <v>1</v>
      </c>
      <c r="F11" s="5" t="s">
        <v>2</v>
      </c>
      <c r="G11" s="5" t="s">
        <v>3</v>
      </c>
      <c r="H11" s="5" t="s">
        <v>4</v>
      </c>
      <c r="I11" s="5" t="s">
        <v>5</v>
      </c>
      <c r="J11" s="5" t="s">
        <v>6</v>
      </c>
      <c r="K11" s="5" t="s">
        <v>7</v>
      </c>
      <c r="L11" s="5" t="s">
        <v>6</v>
      </c>
      <c r="M11" s="5" t="s">
        <v>8</v>
      </c>
      <c r="N11" s="5" t="s">
        <v>9</v>
      </c>
      <c r="O11" s="5" t="s">
        <v>21</v>
      </c>
      <c r="P11" s="6" t="s">
        <v>10</v>
      </c>
    </row>
    <row r="12" spans="4:16" ht="20.25">
      <c r="D12" s="11">
        <v>101</v>
      </c>
      <c r="E12" s="12" t="s">
        <v>11</v>
      </c>
      <c r="F12" s="12">
        <v>120</v>
      </c>
      <c r="G12" s="12">
        <v>150</v>
      </c>
      <c r="H12" s="12" t="s">
        <v>12</v>
      </c>
      <c r="I12" s="7" t="str">
        <f>IF(AND(F12&gt;=G12),"Yes","No")</f>
        <v>No</v>
      </c>
      <c r="J12" s="7" t="str">
        <f>IF(AND(H12="North",F12&gt;=200),"Eligible","Not Eligible")</f>
        <v>Not Eligible</v>
      </c>
      <c r="K12" s="7" t="str">
        <f>IF(F12&gt;=200,"10%",IF(F12&gt;=150,"7%","5%"))</f>
        <v>5%</v>
      </c>
      <c r="L12" s="7">
        <f>IF(F12&gt;=G12,0.1*F12,0.05*F12)</f>
        <v>6</v>
      </c>
      <c r="M12" s="7" t="str">
        <f>IF(F12&gt;=200,"Excellent",IF(F12&gt;=150,"Good","Need Improvement"))</f>
        <v>Need Improvement</v>
      </c>
      <c r="N12" s="7" t="str">
        <f>IF(F12&gt;200,"High",IF(AND(F12&gt;100,F12&lt;200),"Medium","low"))</f>
        <v>Medium</v>
      </c>
      <c r="O12" s="7">
        <f>IF(AND(F12&gt;=150,H12="North"),500,300)</f>
        <v>300</v>
      </c>
      <c r="P12" s="8" t="str">
        <f>IF(F12 &gt;= PERCENTILE($F$12:$F$17, 0.75), "High Performer", "Not a High Performer")</f>
        <v>Not a High Performer</v>
      </c>
    </row>
    <row r="13" spans="4:16" ht="20.25">
      <c r="D13" s="11">
        <v>102</v>
      </c>
      <c r="E13" s="12" t="s">
        <v>13</v>
      </c>
      <c r="F13" s="12">
        <v>150</v>
      </c>
      <c r="G13" s="12">
        <v>140</v>
      </c>
      <c r="H13" s="12" t="s">
        <v>14</v>
      </c>
      <c r="I13" s="7" t="str">
        <f t="shared" ref="I13:I17" si="0">IF(AND(F13&gt;=G13),"Yes","No")</f>
        <v>Yes</v>
      </c>
      <c r="J13" s="7" t="str">
        <f t="shared" ref="J13:J17" si="1">IF(AND(H13="North",F13&gt;=200),"Eligible","Not Eligible")</f>
        <v>Not Eligible</v>
      </c>
      <c r="K13" s="7" t="str">
        <f t="shared" ref="K13:K17" si="2">IF(F13&gt;=200,"10%",IF(F13&gt;=150,"7%","5%"))</f>
        <v>7%</v>
      </c>
      <c r="L13" s="7">
        <f t="shared" ref="L13:L17" si="3">IF(F13&gt;=G13,0.1*F13,0.05*F13)</f>
        <v>15</v>
      </c>
      <c r="M13" s="7" t="str">
        <f t="shared" ref="M13:M17" si="4">IF(F13&gt;=200,"Excellent",IF(F13&gt;=150,"Good","Need Improvement"))</f>
        <v>Good</v>
      </c>
      <c r="N13" s="7" t="str">
        <f t="shared" ref="N13:N17" si="5">IF(F13&gt;200,"High",IF(AND(F13&gt;100,F13&lt;200),"Medium","low"))</f>
        <v>Medium</v>
      </c>
      <c r="O13" s="7">
        <f t="shared" ref="O13:O17" si="6">IF(AND(F13&gt;=150,H13="North"),500,300)</f>
        <v>300</v>
      </c>
      <c r="P13" s="8" t="str">
        <f>IF(F13 &gt;= PERCENTILE($F$12:$F$17, 0.75), "High Performer", "Not a High Performer")</f>
        <v>Not a High Performer</v>
      </c>
    </row>
    <row r="14" spans="4:16" ht="20.25">
      <c r="D14" s="11">
        <v>103</v>
      </c>
      <c r="E14" s="12" t="s">
        <v>15</v>
      </c>
      <c r="F14" s="12">
        <v>200</v>
      </c>
      <c r="G14" s="12">
        <v>200</v>
      </c>
      <c r="H14" s="12" t="s">
        <v>16</v>
      </c>
      <c r="I14" s="7" t="str">
        <f t="shared" si="0"/>
        <v>Yes</v>
      </c>
      <c r="J14" s="7" t="str">
        <f t="shared" si="1"/>
        <v>Not Eligible</v>
      </c>
      <c r="K14" s="7" t="str">
        <f t="shared" si="2"/>
        <v>10%</v>
      </c>
      <c r="L14" s="7">
        <f>IF(F14&gt;=G14,0.1*F14,0.05*F14)</f>
        <v>20</v>
      </c>
      <c r="M14" s="7" t="str">
        <f t="shared" si="4"/>
        <v>Excellent</v>
      </c>
      <c r="N14" s="7" t="str">
        <f t="shared" si="5"/>
        <v>low</v>
      </c>
      <c r="O14" s="7">
        <f t="shared" si="6"/>
        <v>300</v>
      </c>
      <c r="P14" s="8" t="str">
        <f>IF(F14 &gt;= PERCENTILE($F$12:$F$17, 0.75), "High Performer", "Not a High Performer")</f>
        <v>High Performer</v>
      </c>
    </row>
    <row r="15" spans="4:16" ht="20.25">
      <c r="D15" s="11">
        <v>104</v>
      </c>
      <c r="E15" s="12" t="s">
        <v>17</v>
      </c>
      <c r="F15" s="12">
        <v>90</v>
      </c>
      <c r="G15" s="12">
        <v>100</v>
      </c>
      <c r="H15" s="12" t="s">
        <v>18</v>
      </c>
      <c r="I15" s="7" t="str">
        <f t="shared" si="0"/>
        <v>No</v>
      </c>
      <c r="J15" s="7" t="str">
        <f t="shared" si="1"/>
        <v>Not Eligible</v>
      </c>
      <c r="K15" s="7" t="str">
        <f t="shared" si="2"/>
        <v>5%</v>
      </c>
      <c r="L15" s="7">
        <f t="shared" si="3"/>
        <v>4.5</v>
      </c>
      <c r="M15" s="7" t="str">
        <f t="shared" si="4"/>
        <v>Need Improvement</v>
      </c>
      <c r="N15" s="7" t="str">
        <f t="shared" si="5"/>
        <v>low</v>
      </c>
      <c r="O15" s="7">
        <f t="shared" si="6"/>
        <v>300</v>
      </c>
      <c r="P15" s="8" t="str">
        <f>IF(F15 &gt;= PERCENTILE($F$12:$F$17, 0.75), "High Performer", "Not a High Performer")</f>
        <v>Not a High Performer</v>
      </c>
    </row>
    <row r="16" spans="4:16" ht="20.25">
      <c r="D16" s="11">
        <v>105</v>
      </c>
      <c r="E16" s="12" t="s">
        <v>19</v>
      </c>
      <c r="F16" s="12">
        <v>220</v>
      </c>
      <c r="G16" s="12">
        <v>210</v>
      </c>
      <c r="H16" s="12" t="s">
        <v>12</v>
      </c>
      <c r="I16" s="7" t="str">
        <f t="shared" si="0"/>
        <v>Yes</v>
      </c>
      <c r="J16" s="7" t="str">
        <f t="shared" si="1"/>
        <v>Eligible</v>
      </c>
      <c r="K16" s="7" t="str">
        <f t="shared" si="2"/>
        <v>10%</v>
      </c>
      <c r="L16" s="7">
        <f>IF(F16&gt;=G16,0.1*F16,0.05*F16)</f>
        <v>22</v>
      </c>
      <c r="M16" s="7" t="str">
        <f t="shared" si="4"/>
        <v>Excellent</v>
      </c>
      <c r="N16" s="7" t="str">
        <f t="shared" si="5"/>
        <v>High</v>
      </c>
      <c r="O16" s="7">
        <f t="shared" si="6"/>
        <v>500</v>
      </c>
      <c r="P16" s="8" t="str">
        <f>IF(F16 &gt;= PERCENTILE($F$12:$F$17, 0.75), "High Performer", "Not a High Performer")</f>
        <v>High Performer</v>
      </c>
    </row>
    <row r="17" spans="4:16" ht="21" thickBot="1">
      <c r="D17" s="13">
        <v>106</v>
      </c>
      <c r="E17" s="14" t="s">
        <v>20</v>
      </c>
      <c r="F17" s="14">
        <v>130</v>
      </c>
      <c r="G17" s="14">
        <v>160</v>
      </c>
      <c r="H17" s="14" t="s">
        <v>14</v>
      </c>
      <c r="I17" s="9" t="str">
        <f t="shared" si="0"/>
        <v>No</v>
      </c>
      <c r="J17" s="9" t="str">
        <f t="shared" si="1"/>
        <v>Not Eligible</v>
      </c>
      <c r="K17" s="9" t="str">
        <f t="shared" si="2"/>
        <v>5%</v>
      </c>
      <c r="L17" s="9">
        <f t="shared" si="3"/>
        <v>6.5</v>
      </c>
      <c r="M17" s="9" t="str">
        <f t="shared" si="4"/>
        <v>Need Improvement</v>
      </c>
      <c r="N17" s="9" t="str">
        <f t="shared" si="5"/>
        <v>Medium</v>
      </c>
      <c r="O17" s="9">
        <f t="shared" si="6"/>
        <v>300</v>
      </c>
      <c r="P17" s="10" t="str">
        <f>IF(F17 &gt;= PERCENTILE($F$12:$F$17, 0.75), "High Performer", "Not a High Performer")</f>
        <v>Not a High Performer</v>
      </c>
    </row>
  </sheetData>
  <mergeCells count="1">
    <mergeCell ref="D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2025-11-23T19:32:45Z</dcterms:created>
  <dcterms:modified xsi:type="dcterms:W3CDTF">2025-12-01T14:48:43Z</dcterms:modified>
</cp:coreProperties>
</file>
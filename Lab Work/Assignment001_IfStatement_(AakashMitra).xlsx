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Aakash Mitra\Desktop\Anudip\Lab Work\"/>
    </mc:Choice>
  </mc:AlternateContent>
  <xr:revisionPtr revIDLastSave="0" documentId="13_ncr:1_{8E158A22-A41E-464F-BB06-AD2BC8A5EB51}" xr6:coauthVersionLast="47" xr6:coauthVersionMax="47" xr10:uidLastSave="{00000000-0000-0000-0000-000000000000}"/>
  <bookViews>
    <workbookView xWindow="6165" yWindow="3150" windowWidth="21600" windowHeight="11385" xr2:uid="{A426C3BB-B141-45B4-AD96-B37AE67C077F}"/>
  </bookViews>
  <sheets>
    <sheet name="Assignment 1" sheetId="2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V24" i="2" l="1"/>
  <c r="V25" i="2"/>
  <c r="V26" i="2"/>
  <c r="V27" i="2"/>
  <c r="V28" i="2"/>
  <c r="V29" i="2"/>
  <c r="X24" i="2"/>
  <c r="X29" i="2"/>
  <c r="X25" i="2"/>
  <c r="X26" i="2"/>
  <c r="X27" i="2"/>
  <c r="X28" i="2"/>
  <c r="J24" i="2"/>
  <c r="T29" i="2"/>
  <c r="R29" i="2"/>
  <c r="P29" i="2"/>
  <c r="N29" i="2"/>
  <c r="L29" i="2"/>
  <c r="J29" i="2"/>
  <c r="T28" i="2"/>
  <c r="R28" i="2"/>
  <c r="P28" i="2"/>
  <c r="N28" i="2"/>
  <c r="L28" i="2"/>
  <c r="J28" i="2"/>
  <c r="T27" i="2"/>
  <c r="R27" i="2"/>
  <c r="P27" i="2"/>
  <c r="N27" i="2"/>
  <c r="L27" i="2"/>
  <c r="J27" i="2"/>
  <c r="T26" i="2"/>
  <c r="R26" i="2"/>
  <c r="P26" i="2"/>
  <c r="N26" i="2"/>
  <c r="L26" i="2"/>
  <c r="J26" i="2"/>
  <c r="T25" i="2"/>
  <c r="R25" i="2"/>
  <c r="P25" i="2"/>
  <c r="N25" i="2"/>
  <c r="L25" i="2"/>
  <c r="J25" i="2"/>
  <c r="T24" i="2"/>
  <c r="R24" i="2"/>
  <c r="P24" i="2"/>
  <c r="N24" i="2"/>
  <c r="L24" i="2"/>
</calcChain>
</file>

<file path=xl/sharedStrings.xml><?xml version="1.0" encoding="utf-8"?>
<sst xmlns="http://schemas.openxmlformats.org/spreadsheetml/2006/main" count="34" uniqueCount="31">
  <si>
    <t>ProductID</t>
  </si>
  <si>
    <t>Product</t>
  </si>
  <si>
    <t>Sales</t>
  </si>
  <si>
    <t>Target</t>
  </si>
  <si>
    <t>Region</t>
  </si>
  <si>
    <t>Target Complete</t>
  </si>
  <si>
    <t>Bonus</t>
  </si>
  <si>
    <t>Commission</t>
  </si>
  <si>
    <t>Performance</t>
  </si>
  <si>
    <t>Price Tier</t>
  </si>
  <si>
    <t>Performer</t>
  </si>
  <si>
    <t>Product A</t>
  </si>
  <si>
    <t>North</t>
  </si>
  <si>
    <t>Product B</t>
  </si>
  <si>
    <t>South</t>
  </si>
  <si>
    <t>Product C</t>
  </si>
  <si>
    <t>East</t>
  </si>
  <si>
    <t>Product D</t>
  </si>
  <si>
    <t>West</t>
  </si>
  <si>
    <t>Product E</t>
  </si>
  <si>
    <t>Product F</t>
  </si>
  <si>
    <t>Assignment-1</t>
  </si>
  <si>
    <t>Answer 1.</t>
  </si>
  <si>
    <t>Answer 2.</t>
  </si>
  <si>
    <t>Answer 3.</t>
  </si>
  <si>
    <t>Answer 4.</t>
  </si>
  <si>
    <t>Answer 5.</t>
  </si>
  <si>
    <t>Answer 6.</t>
  </si>
  <si>
    <t>Answer 7.</t>
  </si>
  <si>
    <t>Answer 8.</t>
  </si>
  <si>
    <t>End Year Bonus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</si>
</sst>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Aptos Narrow"/>
      <family val="2"/>
      <scheme val="minor"/>
    </font>
    <font>
      <b/>
      <sz val="16"/>
      <color theme="1"/>
      <name val="Century Gothic"/>
      <family val="2"/>
    </font>
    <font>
      <sz val="16"/>
      <color theme="1"/>
      <name val="Century Gothic"/>
      <family val="2"/>
    </font>
    <font>
      <sz val="16"/>
      <color theme="1"/>
      <name val="Aptos Narrow"/>
      <family val="2"/>
      <scheme val="minor"/>
    </font>
    <font>
      <sz val="12"/>
      <color theme="1"/>
      <name val="Aptos Narrow"/>
      <scheme val="minor"/>
    </font>
    <font>
      <b/>
      <sz val="12"/>
      <color theme="1"/>
      <name val="Aptos Narrow"/>
      <scheme val="minor"/>
    </font>
    <font>
      <b/>
      <sz val="22"/>
      <color theme="1"/>
      <name val="Courier New"/>
      <family val="3"/>
    </font>
  </fonts>
  <fills count="8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1A983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0" fontId="1" fillId="3" borderId="6" xfId="0" applyFont="1" applyFill="1" applyBorder="1" applyAlignment="1">
      <alignment horizontal="center"/>
    </xf>
    <xf numFmtId="0" fontId="0" fillId="0" borderId="0" xfId="0" applyAlignment="1"/>
    <xf numFmtId="0" fontId="3" fillId="0" borderId="0" xfId="0" applyFont="1"/>
    <xf numFmtId="0" fontId="4" fillId="0" borderId="0" xfId="0" applyFont="1"/>
    <xf numFmtId="0" fontId="1" fillId="2" borderId="7" xfId="0" applyFont="1" applyFill="1" applyBorder="1" applyAlignment="1">
      <alignment horizontal="center"/>
    </xf>
    <xf numFmtId="0" fontId="1" fillId="3" borderId="8" xfId="0" applyFont="1" applyFill="1" applyBorder="1" applyAlignment="1">
      <alignment horizontal="center"/>
    </xf>
    <xf numFmtId="0" fontId="1" fillId="3" borderId="9" xfId="0" applyFont="1" applyFill="1" applyBorder="1" applyAlignment="1">
      <alignment horizontal="center"/>
    </xf>
    <xf numFmtId="0" fontId="5" fillId="6" borderId="10" xfId="0" applyFont="1" applyFill="1" applyBorder="1"/>
    <xf numFmtId="0" fontId="1" fillId="5" borderId="11" xfId="0" applyFont="1" applyFill="1" applyBorder="1" applyAlignment="1">
      <alignment horizontal="center"/>
    </xf>
    <xf numFmtId="0" fontId="2" fillId="4" borderId="12" xfId="0" applyFont="1" applyFill="1" applyBorder="1" applyAlignment="1">
      <alignment horizontal="center"/>
    </xf>
    <xf numFmtId="0" fontId="2" fillId="4" borderId="13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6" fillId="7" borderId="14" xfId="0" applyFont="1" applyFill="1" applyBorder="1" applyAlignment="1">
      <alignment horizontal="center" vertical="center"/>
    </xf>
    <xf numFmtId="0" fontId="6" fillId="7" borderId="15" xfId="0" applyFont="1" applyFill="1" applyBorder="1" applyAlignment="1">
      <alignment horizontal="center" vertical="center"/>
    </xf>
    <xf numFmtId="0" fontId="6" fillId="7" borderId="16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1A983"/>
      <color rgb="FFFFCCFF"/>
      <color rgb="FFFFCCCC"/>
      <color rgb="FFCED2D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286696</xdr:colOff>
      <xdr:row>8</xdr:row>
      <xdr:rowOff>94077</xdr:rowOff>
    </xdr:from>
    <xdr:to>
      <xdr:col>23</xdr:col>
      <xdr:colOff>2149475</xdr:colOff>
      <xdr:row>17</xdr:row>
      <xdr:rowOff>133349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42DD777-6A2A-BFD3-E6D8-7EB79D2DB5AF}"/>
            </a:ext>
          </a:extLst>
        </xdr:cNvPr>
        <xdr:cNvSpPr txBox="1"/>
      </xdr:nvSpPr>
      <xdr:spPr>
        <a:xfrm>
          <a:off x="7468546" y="1713327"/>
          <a:ext cx="12235504" cy="2220497"/>
        </a:xfrm>
        <a:prstGeom prst="rect">
          <a:avLst/>
        </a:prstGeom>
        <a:solidFill>
          <a:srgbClr val="FFCCCC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1300" b="1">
              <a:solidFill>
                <a:schemeClr val="tx1"/>
              </a:solidFill>
              <a:latin typeface="Century Gothic" panose="020B0502020202020204" pitchFamily="34" charset="0"/>
            </a:rPr>
            <a:t>1. </a:t>
          </a:r>
          <a:r>
            <a:rPr lang="en-IN" sz="1300">
              <a:solidFill>
                <a:schemeClr val="tx1"/>
              </a:solidFill>
              <a:latin typeface="Century Gothic" panose="020B0502020202020204" pitchFamily="34" charset="0"/>
            </a:rPr>
            <a:t>Use the IF function to evaluate whether each product met its sales target. </a:t>
          </a:r>
        </a:p>
        <a:p>
          <a:r>
            <a:rPr lang="en-IN" sz="1300" b="1">
              <a:solidFill>
                <a:schemeClr val="tx1"/>
              </a:solidFill>
              <a:latin typeface="Century Gothic" panose="020B0502020202020204" pitchFamily="34" charset="0"/>
            </a:rPr>
            <a:t>2. </a:t>
          </a:r>
          <a:r>
            <a:rPr lang="en-IN" sz="1300">
              <a:solidFill>
                <a:schemeClr val="tx1"/>
              </a:solidFill>
              <a:latin typeface="Century Gothic" panose="020B0502020202020204" pitchFamily="34" charset="0"/>
            </a:rPr>
            <a:t>Use the IF function to determine if a product is eligible for a regional bonus. Products in the "North" region with sales over 200 are eligible. </a:t>
          </a:r>
        </a:p>
        <a:p>
          <a:r>
            <a:rPr lang="en-IN" sz="1300" b="1">
              <a:solidFill>
                <a:schemeClr val="tx1"/>
              </a:solidFill>
              <a:latin typeface="Century Gothic" panose="020B0502020202020204" pitchFamily="34" charset="0"/>
            </a:rPr>
            <a:t>3. </a:t>
          </a:r>
          <a:r>
            <a:rPr lang="en-IN" sz="1300">
              <a:solidFill>
                <a:schemeClr val="tx1"/>
              </a:solidFill>
              <a:latin typeface="Century Gothic" panose="020B0502020202020204" pitchFamily="34" charset="0"/>
            </a:rPr>
            <a:t>Use nested IF functions to assign a commission rate based on sales. Sales &gt;= 200 get a 10% commission, sales &gt;= 150 get a 7% commission, and others get a 5% commission. </a:t>
          </a:r>
        </a:p>
        <a:p>
          <a:r>
            <a:rPr lang="en-IN" sz="1300" b="1">
              <a:solidFill>
                <a:schemeClr val="tx1"/>
              </a:solidFill>
              <a:latin typeface="Century Gothic" panose="020B0502020202020204" pitchFamily="34" charset="0"/>
            </a:rPr>
            <a:t>4. </a:t>
          </a:r>
          <a:r>
            <a:rPr lang="en-IN" sz="1300">
              <a:solidFill>
                <a:schemeClr val="tx1"/>
              </a:solidFill>
              <a:latin typeface="Century Gothic" panose="020B0502020202020204" pitchFamily="34" charset="0"/>
            </a:rPr>
            <a:t>Use the IF function to calculate a bonus amount. If sales met or exceeded the target, the bonus is 10% of the sales; otherwise, it's 5%. </a:t>
          </a:r>
        </a:p>
        <a:p>
          <a:r>
            <a:rPr lang="en-IN" sz="1300" b="1">
              <a:solidFill>
                <a:schemeClr val="tx1"/>
              </a:solidFill>
              <a:latin typeface="Century Gothic" panose="020B0502020202020204" pitchFamily="34" charset="0"/>
            </a:rPr>
            <a:t>5. </a:t>
          </a:r>
          <a:r>
            <a:rPr lang="en-IN" sz="1300">
              <a:solidFill>
                <a:schemeClr val="tx1"/>
              </a:solidFill>
              <a:latin typeface="Century Gothic" panose="020B0502020202020204" pitchFamily="34" charset="0"/>
            </a:rPr>
            <a:t>Use the IF function to categorize sales performance as "Excellent" (&gt;=200), "Good" (&gt;=150), or "Needs Improvement" (&lt;150). </a:t>
          </a:r>
        </a:p>
        <a:p>
          <a:r>
            <a:rPr lang="en-IN" sz="1300" b="1">
              <a:solidFill>
                <a:schemeClr val="tx1"/>
              </a:solidFill>
              <a:latin typeface="Century Gothic" panose="020B0502020202020204" pitchFamily="34" charset="0"/>
            </a:rPr>
            <a:t>6. </a:t>
          </a:r>
          <a:r>
            <a:rPr lang="en-IN" sz="1300">
              <a:solidFill>
                <a:schemeClr val="tx1"/>
              </a:solidFill>
              <a:latin typeface="Century Gothic" panose="020B0502020202020204" pitchFamily="34" charset="0"/>
            </a:rPr>
            <a:t>Use the IF function to assign a price tier based on the sales value. "High" for sales &gt; 200, "Medium" for sales between 100 and 200, and "Low" for sales &lt; 100. </a:t>
          </a:r>
        </a:p>
        <a:p>
          <a:r>
            <a:rPr lang="en-IN" sz="1300" b="1">
              <a:solidFill>
                <a:schemeClr val="tx1"/>
              </a:solidFill>
              <a:latin typeface="Century Gothic" panose="020B0502020202020204" pitchFamily="34" charset="0"/>
            </a:rPr>
            <a:t>7. </a:t>
          </a:r>
          <a:r>
            <a:rPr lang="en-IN" sz="1300">
              <a:solidFill>
                <a:schemeClr val="tx1"/>
              </a:solidFill>
              <a:latin typeface="Century Gothic" panose="020B0502020202020204" pitchFamily="34" charset="0"/>
            </a:rPr>
            <a:t>Use the IF function to calculate the year-end bonus. If sales &gt;= 150 and region is "North", the bonus is $500, otherwise, it's $300. </a:t>
          </a:r>
        </a:p>
        <a:p>
          <a:r>
            <a:rPr lang="en-IN" sz="1300" b="1">
              <a:solidFill>
                <a:schemeClr val="tx1"/>
              </a:solidFill>
              <a:latin typeface="Century Gothic" panose="020B0502020202020204" pitchFamily="34" charset="0"/>
            </a:rPr>
            <a:t>8. </a:t>
          </a:r>
          <a:r>
            <a:rPr lang="en-IN" sz="1300">
              <a:solidFill>
                <a:schemeClr val="tx1"/>
              </a:solidFill>
              <a:latin typeface="Century Gothic" panose="020B0502020202020204" pitchFamily="34" charset="0"/>
            </a:rPr>
            <a:t>Use the IF function to mark high performers. A product is a high performer if its sales are in the top 25% of all sales.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775460-2575-4344-8466-15B13C5815C4}">
  <dimension ref="D3:X29"/>
  <sheetViews>
    <sheetView tabSelected="1" topLeftCell="F1" zoomScale="73" zoomScaleNormal="100" workbookViewId="0">
      <selection activeCell="G4" sqref="G4:U4"/>
    </sheetView>
  </sheetViews>
  <sheetFormatPr defaultRowHeight="14.25"/>
  <cols>
    <col min="1" max="2" width="10.25" bestFit="1" customWidth="1"/>
    <col min="3" max="3" width="8.75" bestFit="1" customWidth="1"/>
    <col min="4" max="4" width="16" bestFit="1" customWidth="1"/>
    <col min="5" max="5" width="16.25" bestFit="1" customWidth="1"/>
    <col min="6" max="6" width="9.125" bestFit="1" customWidth="1"/>
    <col min="7" max="7" width="10.625" bestFit="1" customWidth="1"/>
    <col min="8" max="8" width="11.875" bestFit="1" customWidth="1"/>
    <col min="9" max="9" width="1.125" customWidth="1"/>
    <col min="10" max="10" width="23.375" bestFit="1" customWidth="1"/>
    <col min="11" max="11" width="1.25" customWidth="1"/>
    <col min="12" max="12" width="15.25" bestFit="1" customWidth="1"/>
    <col min="13" max="13" width="1.25" customWidth="1"/>
    <col min="14" max="14" width="17.125" bestFit="1" customWidth="1"/>
    <col min="15" max="15" width="1.375" customWidth="1"/>
    <col min="16" max="16" width="10.5" bestFit="1" customWidth="1"/>
    <col min="17" max="17" width="1.25" customWidth="1"/>
    <col min="18" max="18" width="27.375" bestFit="1" customWidth="1"/>
    <col min="19" max="19" width="1" customWidth="1"/>
    <col min="20" max="20" width="12.625" bestFit="1" customWidth="1"/>
    <col min="21" max="21" width="1.125" customWidth="1"/>
    <col min="22" max="22" width="21.125" bestFit="1" customWidth="1"/>
    <col min="23" max="23" width="1.5" customWidth="1"/>
    <col min="24" max="24" width="28.25" bestFit="1" customWidth="1"/>
  </cols>
  <sheetData>
    <row r="3" spans="4:24" ht="15" thickBot="1"/>
    <row r="4" spans="4:24" ht="26.25" customHeight="1" thickBot="1">
      <c r="G4" s="18" t="s">
        <v>21</v>
      </c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20"/>
    </row>
    <row r="5" spans="4:24" ht="15" customHeight="1"/>
    <row r="6" spans="4:24" ht="15" customHeight="1"/>
    <row r="7" spans="4:24"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</row>
    <row r="8" spans="4:24"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</row>
    <row r="9" spans="4:24"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</row>
    <row r="10" spans="4:24" ht="15" thickBot="1"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</row>
    <row r="11" spans="4:24" ht="20.25">
      <c r="D11" s="1" t="s">
        <v>0</v>
      </c>
      <c r="E11" s="2" t="s">
        <v>1</v>
      </c>
      <c r="F11" s="2" t="s">
        <v>2</v>
      </c>
      <c r="G11" s="2" t="s">
        <v>3</v>
      </c>
      <c r="H11" s="10" t="s">
        <v>4</v>
      </c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</row>
    <row r="12" spans="4:24" ht="20.25">
      <c r="D12" s="3">
        <v>101</v>
      </c>
      <c r="E12" s="4" t="s">
        <v>11</v>
      </c>
      <c r="F12" s="4">
        <v>120</v>
      </c>
      <c r="G12" s="4">
        <v>150</v>
      </c>
      <c r="H12" s="11" t="s">
        <v>12</v>
      </c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</row>
    <row r="13" spans="4:24" ht="20.25">
      <c r="D13" s="3">
        <v>102</v>
      </c>
      <c r="E13" s="4" t="s">
        <v>13</v>
      </c>
      <c r="F13" s="4">
        <v>150</v>
      </c>
      <c r="G13" s="4">
        <v>140</v>
      </c>
      <c r="H13" s="11" t="s">
        <v>14</v>
      </c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</row>
    <row r="14" spans="4:24" ht="20.25">
      <c r="D14" s="3">
        <v>103</v>
      </c>
      <c r="E14" s="4" t="s">
        <v>15</v>
      </c>
      <c r="F14" s="4">
        <v>200</v>
      </c>
      <c r="G14" s="4">
        <v>200</v>
      </c>
      <c r="H14" s="11" t="s">
        <v>16</v>
      </c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</row>
    <row r="15" spans="4:24" ht="20.25">
      <c r="D15" s="3">
        <v>104</v>
      </c>
      <c r="E15" s="4" t="s">
        <v>17</v>
      </c>
      <c r="F15" s="4">
        <v>90</v>
      </c>
      <c r="G15" s="4">
        <v>100</v>
      </c>
      <c r="H15" s="11" t="s">
        <v>18</v>
      </c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</row>
    <row r="16" spans="4:24" ht="20.25">
      <c r="D16" s="3">
        <v>105</v>
      </c>
      <c r="E16" s="4" t="s">
        <v>19</v>
      </c>
      <c r="F16" s="4">
        <v>220</v>
      </c>
      <c r="G16" s="4">
        <v>210</v>
      </c>
      <c r="H16" s="11" t="s">
        <v>12</v>
      </c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</row>
    <row r="17" spans="4:24" ht="21" thickBot="1">
      <c r="D17" s="5">
        <v>106</v>
      </c>
      <c r="E17" s="6" t="s">
        <v>20</v>
      </c>
      <c r="F17" s="6">
        <v>130</v>
      </c>
      <c r="G17" s="6">
        <v>160</v>
      </c>
      <c r="H17" s="12" t="s">
        <v>14</v>
      </c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</row>
    <row r="18" spans="4:24"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</row>
    <row r="19" spans="4:24"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</row>
    <row r="20" spans="4:24"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</row>
    <row r="21" spans="4:24" ht="15" thickBot="1"/>
    <row r="22" spans="4:24" ht="16.5" thickBot="1">
      <c r="J22" s="13" t="s">
        <v>22</v>
      </c>
      <c r="K22" s="9"/>
      <c r="L22" s="13" t="s">
        <v>23</v>
      </c>
      <c r="M22" s="9"/>
      <c r="N22" s="13" t="s">
        <v>24</v>
      </c>
      <c r="O22" s="9"/>
      <c r="P22" s="13" t="s">
        <v>25</v>
      </c>
      <c r="Q22" s="9"/>
      <c r="R22" s="13" t="s">
        <v>26</v>
      </c>
      <c r="S22" s="9"/>
      <c r="T22" s="13" t="s">
        <v>27</v>
      </c>
      <c r="U22" s="9"/>
      <c r="V22" s="13" t="s">
        <v>28</v>
      </c>
      <c r="W22" s="9"/>
      <c r="X22" s="13" t="s">
        <v>29</v>
      </c>
    </row>
    <row r="23" spans="4:24" ht="20.25">
      <c r="J23" s="14" t="s">
        <v>5</v>
      </c>
      <c r="K23" s="8"/>
      <c r="L23" s="14" t="s">
        <v>6</v>
      </c>
      <c r="M23" s="8"/>
      <c r="N23" s="14" t="s">
        <v>7</v>
      </c>
      <c r="O23" s="8"/>
      <c r="P23" s="14" t="s">
        <v>6</v>
      </c>
      <c r="Q23" s="8"/>
      <c r="R23" s="14" t="s">
        <v>8</v>
      </c>
      <c r="S23" s="8"/>
      <c r="T23" s="14" t="s">
        <v>9</v>
      </c>
      <c r="U23" s="8"/>
      <c r="V23" s="14" t="s">
        <v>30</v>
      </c>
      <c r="W23" s="8"/>
      <c r="X23" s="14" t="s">
        <v>10</v>
      </c>
    </row>
    <row r="24" spans="4:24" ht="20.25">
      <c r="J24" s="15" t="str">
        <f t="shared" ref="J24:J29" si="0">IF(AND(F12&gt;=G12),"Yes","No")</f>
        <v>No</v>
      </c>
      <c r="K24" s="8"/>
      <c r="L24" s="15" t="str">
        <f t="shared" ref="L24:L29" si="1">IF(AND(H12="North",F12&gt;=200),"Eligible","Not Eligible")</f>
        <v>Not Eligible</v>
      </c>
      <c r="M24" s="8"/>
      <c r="N24" s="15" t="str">
        <f t="shared" ref="N24:N29" si="2">IF(F12&gt;=200,"10%",IF(F12&gt;=150,"7%","5%"))</f>
        <v>5%</v>
      </c>
      <c r="O24" s="8"/>
      <c r="P24" s="15">
        <f t="shared" ref="P24:P29" si="3">IF(F12&gt;=G12,0.1*F12,0.05*F12)</f>
        <v>6</v>
      </c>
      <c r="Q24" s="8"/>
      <c r="R24" s="15" t="str">
        <f t="shared" ref="R24:R29" si="4">IF(F12&gt;=200,"Excellent",IF(F12&gt;=150,"Good","Need Improvement"))</f>
        <v>Need Improvement</v>
      </c>
      <c r="S24" s="8"/>
      <c r="T24" s="15" t="str">
        <f t="shared" ref="T24:T29" si="5">IF(F12&gt;200,"High",IF(AND(F12&gt;100,F12&lt;200),"Medium","low"))</f>
        <v>Medium</v>
      </c>
      <c r="U24" s="8"/>
      <c r="V24" s="15">
        <f t="shared" ref="V24:V29" si="6">IF(AND(F12&gt;=150,H12="North"),500,300)</f>
        <v>300</v>
      </c>
      <c r="W24" s="8"/>
      <c r="X24" s="15" t="str">
        <f t="shared" ref="X24:X29" si="7">IF(F12 &gt;= PERCENTILE($F$12:$F$17, 0.75), "High Performer", "Not a High Performer")</f>
        <v>Not a High Performer</v>
      </c>
    </row>
    <row r="25" spans="4:24" ht="20.25">
      <c r="J25" s="15" t="str">
        <f t="shared" si="0"/>
        <v>Yes</v>
      </c>
      <c r="K25" s="8"/>
      <c r="L25" s="15" t="str">
        <f t="shared" si="1"/>
        <v>Not Eligible</v>
      </c>
      <c r="M25" s="8"/>
      <c r="N25" s="15" t="str">
        <f t="shared" si="2"/>
        <v>7%</v>
      </c>
      <c r="O25" s="8"/>
      <c r="P25" s="15">
        <f t="shared" si="3"/>
        <v>15</v>
      </c>
      <c r="Q25" s="8"/>
      <c r="R25" s="15" t="str">
        <f t="shared" si="4"/>
        <v>Good</v>
      </c>
      <c r="S25" s="8"/>
      <c r="T25" s="15" t="str">
        <f t="shared" si="5"/>
        <v>Medium</v>
      </c>
      <c r="U25" s="8"/>
      <c r="V25" s="15">
        <f t="shared" si="6"/>
        <v>300</v>
      </c>
      <c r="W25" s="8"/>
      <c r="X25" s="15" t="str">
        <f t="shared" si="7"/>
        <v>Not a High Performer</v>
      </c>
    </row>
    <row r="26" spans="4:24" ht="20.25">
      <c r="J26" s="15" t="str">
        <f t="shared" si="0"/>
        <v>Yes</v>
      </c>
      <c r="K26" s="8"/>
      <c r="L26" s="15" t="str">
        <f t="shared" si="1"/>
        <v>Not Eligible</v>
      </c>
      <c r="M26" s="8"/>
      <c r="N26" s="15" t="str">
        <f t="shared" si="2"/>
        <v>10%</v>
      </c>
      <c r="O26" s="8"/>
      <c r="P26" s="15">
        <f t="shared" si="3"/>
        <v>20</v>
      </c>
      <c r="Q26" s="8"/>
      <c r="R26" s="15" t="str">
        <f t="shared" si="4"/>
        <v>Excellent</v>
      </c>
      <c r="S26" s="8"/>
      <c r="T26" s="15" t="str">
        <f t="shared" si="5"/>
        <v>low</v>
      </c>
      <c r="U26" s="8"/>
      <c r="V26" s="15">
        <f t="shared" si="6"/>
        <v>300</v>
      </c>
      <c r="W26" s="8"/>
      <c r="X26" s="15" t="str">
        <f t="shared" si="7"/>
        <v>High Performer</v>
      </c>
    </row>
    <row r="27" spans="4:24" ht="20.25">
      <c r="J27" s="15" t="str">
        <f t="shared" si="0"/>
        <v>No</v>
      </c>
      <c r="K27" s="8"/>
      <c r="L27" s="15" t="str">
        <f t="shared" si="1"/>
        <v>Not Eligible</v>
      </c>
      <c r="M27" s="8"/>
      <c r="N27" s="15" t="str">
        <f t="shared" si="2"/>
        <v>5%</v>
      </c>
      <c r="O27" s="8"/>
      <c r="P27" s="15">
        <f t="shared" si="3"/>
        <v>4.5</v>
      </c>
      <c r="Q27" s="8"/>
      <c r="R27" s="15" t="str">
        <f t="shared" si="4"/>
        <v>Need Improvement</v>
      </c>
      <c r="S27" s="8"/>
      <c r="T27" s="15" t="str">
        <f t="shared" si="5"/>
        <v>low</v>
      </c>
      <c r="U27" s="8"/>
      <c r="V27" s="15">
        <f t="shared" si="6"/>
        <v>300</v>
      </c>
      <c r="W27" s="8"/>
      <c r="X27" s="15" t="str">
        <f t="shared" si="7"/>
        <v>Not a High Performer</v>
      </c>
    </row>
    <row r="28" spans="4:24" ht="20.25">
      <c r="J28" s="15" t="str">
        <f t="shared" si="0"/>
        <v>Yes</v>
      </c>
      <c r="K28" s="8"/>
      <c r="L28" s="15" t="str">
        <f t="shared" si="1"/>
        <v>Eligible</v>
      </c>
      <c r="M28" s="8"/>
      <c r="N28" s="15" t="str">
        <f t="shared" si="2"/>
        <v>10%</v>
      </c>
      <c r="O28" s="8"/>
      <c r="P28" s="15">
        <f t="shared" si="3"/>
        <v>22</v>
      </c>
      <c r="Q28" s="8"/>
      <c r="R28" s="15" t="str">
        <f t="shared" si="4"/>
        <v>Excellent</v>
      </c>
      <c r="S28" s="8"/>
      <c r="T28" s="15" t="str">
        <f t="shared" si="5"/>
        <v>High</v>
      </c>
      <c r="U28" s="8"/>
      <c r="V28" s="15">
        <f t="shared" si="6"/>
        <v>500</v>
      </c>
      <c r="W28" s="8"/>
      <c r="X28" s="15" t="str">
        <f t="shared" si="7"/>
        <v>High Performer</v>
      </c>
    </row>
    <row r="29" spans="4:24" ht="21" thickBot="1">
      <c r="J29" s="16" t="str">
        <f t="shared" si="0"/>
        <v>No</v>
      </c>
      <c r="K29" s="8"/>
      <c r="L29" s="16" t="str">
        <f t="shared" si="1"/>
        <v>Not Eligible</v>
      </c>
      <c r="M29" s="8"/>
      <c r="N29" s="16" t="str">
        <f t="shared" si="2"/>
        <v>5%</v>
      </c>
      <c r="O29" s="8"/>
      <c r="P29" s="16">
        <f t="shared" si="3"/>
        <v>6.5</v>
      </c>
      <c r="Q29" s="8"/>
      <c r="R29" s="16" t="str">
        <f t="shared" si="4"/>
        <v>Need Improvement</v>
      </c>
      <c r="S29" s="8"/>
      <c r="T29" s="16" t="str">
        <f t="shared" si="5"/>
        <v>Medium</v>
      </c>
      <c r="U29" s="8"/>
      <c r="V29" s="16">
        <f t="shared" si="6"/>
        <v>300</v>
      </c>
      <c r="W29" s="8"/>
      <c r="X29" s="16" t="str">
        <f t="shared" si="7"/>
        <v>Not a High Performer</v>
      </c>
    </row>
  </sheetData>
  <mergeCells count="2">
    <mergeCell ref="J9:X18"/>
    <mergeCell ref="G4:U4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Assignment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Aakash Mitra</dc:creator>
  <cp:lastModifiedBy>Aakash Mitra</cp:lastModifiedBy>
  <dcterms:created xsi:type="dcterms:W3CDTF">2025-11-23T19:32:45Z</dcterms:created>
  <dcterms:modified xsi:type="dcterms:W3CDTF">2025-12-15T14:41:10Z</dcterms:modified>
</cp:coreProperties>
</file>
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Aakash Mitra\Desktop\Anudip\Lab Work\"/>
    </mc:Choice>
  </mc:AlternateContent>
  <xr:revisionPtr revIDLastSave="0" documentId="13_ncr:1_{76FD5A58-5E02-4825-AD9F-7164316DBA57}" xr6:coauthVersionLast="47" xr6:coauthVersionMax="47" xr10:uidLastSave="{00000000-0000-0000-0000-000000000000}"/>
  <bookViews>
    <workbookView xWindow="-120" yWindow="-120" windowWidth="29040" windowHeight="15840" xr2:uid="{A426C3BB-B141-45B4-AD96-B37AE67C077F}"/>
  </bookViews>
  <sheets>
    <sheet name="Sheet1" sheetId="2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X27" i="2" l="1"/>
  <c r="X23" i="2"/>
  <c r="X24" i="2"/>
  <c r="X25" i="2"/>
  <c r="X26" i="2"/>
  <c r="X22" i="2"/>
  <c r="J22" i="2"/>
  <c r="V27" i="2"/>
  <c r="T27" i="2"/>
  <c r="R27" i="2"/>
  <c r="P27" i="2"/>
  <c r="N27" i="2"/>
  <c r="L27" i="2"/>
  <c r="J27" i="2"/>
  <c r="V26" i="2"/>
  <c r="T26" i="2"/>
  <c r="R26" i="2"/>
  <c r="P26" i="2"/>
  <c r="N26" i="2"/>
  <c r="L26" i="2"/>
  <c r="J26" i="2"/>
  <c r="V25" i="2"/>
  <c r="T25" i="2"/>
  <c r="R25" i="2"/>
  <c r="P25" i="2"/>
  <c r="N25" i="2"/>
  <c r="L25" i="2"/>
  <c r="J25" i="2"/>
  <c r="V24" i="2"/>
  <c r="T24" i="2"/>
  <c r="R24" i="2"/>
  <c r="P24" i="2"/>
  <c r="N24" i="2"/>
  <c r="L24" i="2"/>
  <c r="J24" i="2"/>
  <c r="V23" i="2"/>
  <c r="T23" i="2"/>
  <c r="R23" i="2"/>
  <c r="P23" i="2"/>
  <c r="N23" i="2"/>
  <c r="L23" i="2"/>
  <c r="J23" i="2"/>
  <c r="V22" i="2"/>
  <c r="T22" i="2"/>
  <c r="R22" i="2"/>
  <c r="P22" i="2"/>
  <c r="N22" i="2"/>
  <c r="L22" i="2"/>
</calcChain>
</file>

<file path=xl/sharedStrings.xml><?xml version="1.0" encoding="utf-8"?>
<sst xmlns="http://schemas.openxmlformats.org/spreadsheetml/2006/main" count="34" uniqueCount="31">
  <si>
    <t>ProductID</t>
  </si>
  <si>
    <t>Product</t>
  </si>
  <si>
    <t>Sales</t>
  </si>
  <si>
    <t>Target</t>
  </si>
  <si>
    <t>Region</t>
  </si>
  <si>
    <t>Target Complete</t>
  </si>
  <si>
    <t>Bonus</t>
  </si>
  <si>
    <t>Commission</t>
  </si>
  <si>
    <t>Performance</t>
  </si>
  <si>
    <t>Price Tier</t>
  </si>
  <si>
    <t>Performer</t>
  </si>
  <si>
    <t>Product A</t>
  </si>
  <si>
    <t>North</t>
  </si>
  <si>
    <t>Product B</t>
  </si>
  <si>
    <t>South</t>
  </si>
  <si>
    <t>Product C</t>
  </si>
  <si>
    <t>East</t>
  </si>
  <si>
    <t>Product D</t>
  </si>
  <si>
    <t>West</t>
  </si>
  <si>
    <t>Product E</t>
  </si>
  <si>
    <t>Product F</t>
  </si>
  <si>
    <t>Assignment-1</t>
  </si>
  <si>
    <t>Answer 1.</t>
  </si>
  <si>
    <t>Answer 2.</t>
  </si>
  <si>
    <t>Answer 3.</t>
  </si>
  <si>
    <t>Answer 4.</t>
  </si>
  <si>
    <t>Answer 5.</t>
  </si>
  <si>
    <t>Answer 6.</t>
  </si>
  <si>
    <t>Answer 7.</t>
  </si>
  <si>
    <t>Answer 8.</t>
  </si>
  <si>
    <t>End Year Bonus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</si>
</sst>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Aptos Narrow"/>
      <family val="2"/>
      <scheme val="minor"/>
    </font>
    <font>
      <b/>
      <sz val="16"/>
      <color theme="1"/>
      <name val="Century Gothic"/>
      <family val="2"/>
    </font>
    <font>
      <sz val="16"/>
      <color theme="1"/>
      <name val="Century Gothic"/>
      <family val="2"/>
    </font>
    <font>
      <b/>
      <sz val="11"/>
      <color theme="0" tint="-4.9989318521683403E-2"/>
      <name val="Aptos Narrow"/>
      <scheme val="minor"/>
    </font>
    <font>
      <b/>
      <sz val="24"/>
      <color theme="1"/>
      <name val="Century Gothic"/>
      <family val="2"/>
    </font>
  </fonts>
  <fills count="7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5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3" borderId="3" xfId="0" applyFont="1" applyFill="1" applyBorder="1" applyAlignment="1">
      <alignment horizontal="center"/>
    </xf>
    <xf numFmtId="0" fontId="1" fillId="3" borderId="4" xfId="0" applyFont="1" applyFill="1" applyBorder="1" applyAlignment="1">
      <alignment horizontal="center"/>
    </xf>
    <xf numFmtId="0" fontId="1" fillId="3" borderId="5" xfId="0" applyFont="1" applyFill="1" applyBorder="1" applyAlignment="1">
      <alignment horizontal="center"/>
    </xf>
    <xf numFmtId="0" fontId="1" fillId="3" borderId="6" xfId="0" applyFont="1" applyFill="1" applyBorder="1" applyAlignment="1">
      <alignment horizontal="center"/>
    </xf>
    <xf numFmtId="0" fontId="2" fillId="4" borderId="4" xfId="0" applyFont="1" applyFill="1" applyBorder="1" applyAlignment="1">
      <alignment horizontal="center"/>
    </xf>
    <xf numFmtId="0" fontId="2" fillId="4" borderId="6" xfId="0" applyFont="1" applyFill="1" applyBorder="1" applyAlignment="1">
      <alignment horizontal="center"/>
    </xf>
    <xf numFmtId="0" fontId="3" fillId="5" borderId="0" xfId="0" applyFont="1" applyFill="1"/>
    <xf numFmtId="0" fontId="1" fillId="6" borderId="2" xfId="0" applyFont="1" applyFill="1" applyBorder="1" applyAlignment="1">
      <alignment horizontal="center"/>
    </xf>
    <xf numFmtId="0" fontId="4" fillId="3" borderId="7" xfId="0" applyFont="1" applyFill="1" applyBorder="1" applyAlignment="1">
      <alignment horizontal="center" vertical="center"/>
    </xf>
    <xf numFmtId="0" fontId="4" fillId="3" borderId="8" xfId="0" applyFont="1" applyFill="1" applyBorder="1" applyAlignment="1">
      <alignment horizontal="center" vertical="center"/>
    </xf>
    <xf numFmtId="0" fontId="4" fillId="3" borderId="9" xfId="0" applyFont="1" applyFill="1" applyBorder="1" applyAlignment="1">
      <alignment horizontal="center" vertical="center"/>
    </xf>
    <xf numFmtId="0" fontId="4" fillId="3" borderId="10" xfId="0" applyFont="1" applyFill="1" applyBorder="1" applyAlignment="1">
      <alignment horizontal="center" vertical="center"/>
    </xf>
    <xf numFmtId="0" fontId="4" fillId="3" borderId="11" xfId="0" applyFont="1" applyFill="1" applyBorder="1" applyAlignment="1">
      <alignment horizontal="center" vertical="center"/>
    </xf>
    <xf numFmtId="0" fontId="4" fillId="3" borderId="1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775460-2575-4344-8466-15B13C5815C4}">
  <dimension ref="D3:X27"/>
  <sheetViews>
    <sheetView tabSelected="1" topLeftCell="C1" zoomScale="90" zoomScaleNormal="90" workbookViewId="0">
      <selection activeCell="L13" sqref="L13"/>
    </sheetView>
  </sheetViews>
  <sheetFormatPr defaultRowHeight="14.25"/>
  <cols>
    <col min="1" max="2" width="10.25" bestFit="1" customWidth="1"/>
    <col min="3" max="3" width="8.75" bestFit="1" customWidth="1"/>
    <col min="4" max="4" width="13.625" bestFit="1" customWidth="1"/>
    <col min="5" max="5" width="14.125" bestFit="1" customWidth="1"/>
    <col min="6" max="6" width="7.625" bestFit="1" customWidth="1"/>
    <col min="7" max="7" width="9" bestFit="1" customWidth="1"/>
    <col min="8" max="8" width="9.875" bestFit="1" customWidth="1"/>
    <col min="9" max="9" width="1.125" customWidth="1"/>
    <col min="10" max="10" width="22.5" customWidth="1"/>
    <col min="11" max="11" width="1.25" customWidth="1"/>
    <col min="12" max="12" width="16.625" bestFit="1" customWidth="1"/>
    <col min="13" max="13" width="1.25" customWidth="1"/>
    <col min="14" max="14" width="17.25" customWidth="1"/>
    <col min="15" max="15" width="1.375" customWidth="1"/>
    <col min="16" max="16" width="21.375" customWidth="1"/>
    <col min="17" max="17" width="1.25" customWidth="1"/>
    <col min="18" max="18" width="27.375" bestFit="1" customWidth="1"/>
    <col min="19" max="19" width="1" customWidth="1"/>
    <col min="20" max="20" width="21" bestFit="1" customWidth="1"/>
    <col min="21" max="21" width="1.125" customWidth="1"/>
    <col min="22" max="22" width="21" bestFit="1" customWidth="1"/>
    <col min="23" max="23" width="1.5" customWidth="1"/>
    <col min="24" max="24" width="28.25" bestFit="1" customWidth="1"/>
  </cols>
  <sheetData>
    <row r="3" spans="4:24" ht="15" thickBot="1"/>
    <row r="4" spans="4:24" ht="26.25" customHeight="1">
      <c r="D4" s="11" t="s">
        <v>21</v>
      </c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3"/>
    </row>
    <row r="5" spans="4:24" ht="15" thickBot="1">
      <c r="D5" s="14"/>
      <c r="E5" s="15"/>
      <c r="F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6"/>
    </row>
    <row r="10" spans="4:24" ht="15" thickBot="1"/>
    <row r="11" spans="4:24" ht="20.25">
      <c r="D11" s="1" t="s">
        <v>0</v>
      </c>
      <c r="E11" s="2" t="s">
        <v>1</v>
      </c>
      <c r="F11" s="2" t="s">
        <v>2</v>
      </c>
      <c r="G11" s="2" t="s">
        <v>3</v>
      </c>
      <c r="H11" s="2" t="s">
        <v>4</v>
      </c>
    </row>
    <row r="12" spans="4:24" ht="20.25">
      <c r="D12" s="3">
        <v>101</v>
      </c>
      <c r="E12" s="4" t="s">
        <v>11</v>
      </c>
      <c r="F12" s="4">
        <v>120</v>
      </c>
      <c r="G12" s="4">
        <v>150</v>
      </c>
      <c r="H12" s="4" t="s">
        <v>12</v>
      </c>
    </row>
    <row r="13" spans="4:24" ht="20.25">
      <c r="D13" s="3">
        <v>102</v>
      </c>
      <c r="E13" s="4" t="s">
        <v>13</v>
      </c>
      <c r="F13" s="4">
        <v>150</v>
      </c>
      <c r="G13" s="4">
        <v>140</v>
      </c>
      <c r="H13" s="4" t="s">
        <v>14</v>
      </c>
    </row>
    <row r="14" spans="4:24" ht="20.25">
      <c r="D14" s="3">
        <v>103</v>
      </c>
      <c r="E14" s="4" t="s">
        <v>15</v>
      </c>
      <c r="F14" s="4">
        <v>200</v>
      </c>
      <c r="G14" s="4">
        <v>200</v>
      </c>
      <c r="H14" s="4" t="s">
        <v>16</v>
      </c>
    </row>
    <row r="15" spans="4:24" ht="20.25">
      <c r="D15" s="3">
        <v>104</v>
      </c>
      <c r="E15" s="4" t="s">
        <v>17</v>
      </c>
      <c r="F15" s="4">
        <v>90</v>
      </c>
      <c r="G15" s="4">
        <v>100</v>
      </c>
      <c r="H15" s="4" t="s">
        <v>18</v>
      </c>
    </row>
    <row r="16" spans="4:24" ht="20.25">
      <c r="D16" s="3">
        <v>105</v>
      </c>
      <c r="E16" s="4" t="s">
        <v>19</v>
      </c>
      <c r="F16" s="4">
        <v>220</v>
      </c>
      <c r="G16" s="4">
        <v>210</v>
      </c>
      <c r="H16" s="4" t="s">
        <v>12</v>
      </c>
    </row>
    <row r="17" spans="4:24" ht="21" thickBot="1">
      <c r="D17" s="5">
        <v>106</v>
      </c>
      <c r="E17" s="6" t="s">
        <v>20</v>
      </c>
      <c r="F17" s="6">
        <v>130</v>
      </c>
      <c r="G17" s="6">
        <v>160</v>
      </c>
      <c r="H17" s="6" t="s">
        <v>14</v>
      </c>
    </row>
    <row r="20" spans="4:24" ht="15.75" thickBot="1">
      <c r="J20" s="9" t="s">
        <v>22</v>
      </c>
      <c r="L20" s="9" t="s">
        <v>23</v>
      </c>
      <c r="N20" s="9" t="s">
        <v>24</v>
      </c>
      <c r="P20" s="9" t="s">
        <v>25</v>
      </c>
      <c r="R20" s="9" t="s">
        <v>26</v>
      </c>
      <c r="T20" s="9" t="s">
        <v>27</v>
      </c>
      <c r="V20" s="9" t="s">
        <v>28</v>
      </c>
      <c r="X20" s="9" t="s">
        <v>29</v>
      </c>
    </row>
    <row r="21" spans="4:24" ht="20.25">
      <c r="J21" s="10" t="s">
        <v>5</v>
      </c>
      <c r="L21" s="10" t="s">
        <v>6</v>
      </c>
      <c r="N21" s="10" t="s">
        <v>7</v>
      </c>
      <c r="P21" s="10" t="s">
        <v>6</v>
      </c>
      <c r="R21" s="10" t="s">
        <v>8</v>
      </c>
      <c r="T21" s="10" t="s">
        <v>9</v>
      </c>
      <c r="V21" s="10" t="s">
        <v>30</v>
      </c>
      <c r="X21" s="10" t="s">
        <v>10</v>
      </c>
    </row>
    <row r="22" spans="4:24" ht="19.5">
      <c r="J22" s="7" t="str">
        <f>IF(AND(F12&gt;=G12),"Yes","No")</f>
        <v>No</v>
      </c>
      <c r="L22" s="7" t="str">
        <f>IF(AND(H12="North",F12&gt;=200),"Eligible","Not Eligible")</f>
        <v>Not Eligible</v>
      </c>
      <c r="N22" s="7" t="str">
        <f>IF(F12&gt;=200,"10%",IF(F12&gt;=150,"7%","5%"))</f>
        <v>5%</v>
      </c>
      <c r="P22" s="7">
        <f>IF(F12&gt;=G12,0.1*F12,0.05*F12)</f>
        <v>6</v>
      </c>
      <c r="R22" s="7" t="str">
        <f>IF(F12&gt;=200,"Excellent",IF(F12&gt;=150,"Good","Need Improvement"))</f>
        <v>Need Improvement</v>
      </c>
      <c r="T22" s="7" t="str">
        <f>IF(F12&gt;200,"High",IF(AND(F12&gt;100,F12&lt;200),"Medium","low"))</f>
        <v>Medium</v>
      </c>
      <c r="V22" s="7">
        <f>IF(AND(F12&gt;=150,H12="North"),500,300)</f>
        <v>300</v>
      </c>
      <c r="X22" s="7" t="str">
        <f>IF(F12 &gt;= PERCENTILE($F$12:$F$17, 0.75), "High Performer", "Not a High Performer")</f>
        <v>Not a High Performer</v>
      </c>
    </row>
    <row r="23" spans="4:24" ht="19.5">
      <c r="J23" s="7" t="str">
        <f>IF(AND(F13&gt;=G13),"Yes","No")</f>
        <v>Yes</v>
      </c>
      <c r="L23" s="7" t="str">
        <f>IF(AND(H13="North",F13&gt;=200),"Eligible","Not Eligible")</f>
        <v>Not Eligible</v>
      </c>
      <c r="N23" s="7" t="str">
        <f>IF(F13&gt;=200,"10%",IF(F13&gt;=150,"7%","5%"))</f>
        <v>7%</v>
      </c>
      <c r="P23" s="7">
        <f>IF(F13&gt;=G13,0.1*F13,0.05*F13)</f>
        <v>15</v>
      </c>
      <c r="R23" s="7" t="str">
        <f>IF(F13&gt;=200,"Excellent",IF(F13&gt;=150,"Good","Need Improvement"))</f>
        <v>Good</v>
      </c>
      <c r="T23" s="7" t="str">
        <f>IF(F13&gt;200,"High",IF(AND(F13&gt;100,F13&lt;200),"Medium","low"))</f>
        <v>Medium</v>
      </c>
      <c r="V23" s="7">
        <f>IF(AND(F13&gt;=150,H13="North"),500,300)</f>
        <v>300</v>
      </c>
      <c r="X23" s="7" t="str">
        <f>IF(F13 &gt;= PERCENTILE($F$12:$F$17, 0.75), "High Performer", "Not a High Performer")</f>
        <v>Not a High Performer</v>
      </c>
    </row>
    <row r="24" spans="4:24" ht="19.5">
      <c r="J24" s="7" t="str">
        <f>IF(AND(F14&gt;=G14),"Yes","No")</f>
        <v>Yes</v>
      </c>
      <c r="L24" s="7" t="str">
        <f>IF(AND(H14="North",F14&gt;=200),"Eligible","Not Eligible")</f>
        <v>Not Eligible</v>
      </c>
      <c r="N24" s="7" t="str">
        <f>IF(F14&gt;=200,"10%",IF(F14&gt;=150,"7%","5%"))</f>
        <v>10%</v>
      </c>
      <c r="P24" s="7">
        <f>IF(F14&gt;=G14,0.1*F14,0.05*F14)</f>
        <v>20</v>
      </c>
      <c r="R24" s="7" t="str">
        <f>IF(F14&gt;=200,"Excellent",IF(F14&gt;=150,"Good","Need Improvement"))</f>
        <v>Excellent</v>
      </c>
      <c r="T24" s="7" t="str">
        <f>IF(F14&gt;200,"High",IF(AND(F14&gt;100,F14&lt;200),"Medium","low"))</f>
        <v>low</v>
      </c>
      <c r="V24" s="7">
        <f>IF(AND(F14&gt;=150,H14="North"),500,300)</f>
        <v>300</v>
      </c>
      <c r="X24" s="7" t="str">
        <f>IF(F14 &gt;= PERCENTILE($F$12:$F$17, 0.75), "High Performer", "Not a High Performer")</f>
        <v>High Performer</v>
      </c>
    </row>
    <row r="25" spans="4:24" ht="19.5">
      <c r="J25" s="7" t="str">
        <f>IF(AND(F15&gt;=G15),"Yes","No")</f>
        <v>No</v>
      </c>
      <c r="L25" s="7" t="str">
        <f>IF(AND(H15="North",F15&gt;=200),"Eligible","Not Eligible")</f>
        <v>Not Eligible</v>
      </c>
      <c r="N25" s="7" t="str">
        <f>IF(F15&gt;=200,"10%",IF(F15&gt;=150,"7%","5%"))</f>
        <v>5%</v>
      </c>
      <c r="P25" s="7">
        <f>IF(F15&gt;=G15,0.1*F15,0.05*F15)</f>
        <v>4.5</v>
      </c>
      <c r="R25" s="7" t="str">
        <f>IF(F15&gt;=200,"Excellent",IF(F15&gt;=150,"Good","Need Improvement"))</f>
        <v>Need Improvement</v>
      </c>
      <c r="T25" s="7" t="str">
        <f>IF(F15&gt;200,"High",IF(AND(F15&gt;100,F15&lt;200),"Medium","low"))</f>
        <v>low</v>
      </c>
      <c r="V25" s="7">
        <f>IF(AND(F15&gt;=150,H15="North"),500,300)</f>
        <v>300</v>
      </c>
      <c r="X25" s="7" t="str">
        <f>IF(F15 &gt;= PERCENTILE($F$12:$F$17, 0.75), "High Performer", "Not a High Performer")</f>
        <v>Not a High Performer</v>
      </c>
    </row>
    <row r="26" spans="4:24" ht="19.5">
      <c r="J26" s="7" t="str">
        <f>IF(AND(F16&gt;=G16),"Yes","No")</f>
        <v>Yes</v>
      </c>
      <c r="L26" s="7" t="str">
        <f>IF(AND(H16="North",F16&gt;=200),"Eligible","Not Eligible")</f>
        <v>Eligible</v>
      </c>
      <c r="N26" s="7" t="str">
        <f>IF(F16&gt;=200,"10%",IF(F16&gt;=150,"7%","5%"))</f>
        <v>10%</v>
      </c>
      <c r="P26" s="7">
        <f>IF(F16&gt;=G16,0.1*F16,0.05*F16)</f>
        <v>22</v>
      </c>
      <c r="R26" s="7" t="str">
        <f>IF(F16&gt;=200,"Excellent",IF(F16&gt;=150,"Good","Need Improvement"))</f>
        <v>Excellent</v>
      </c>
      <c r="T26" s="7" t="str">
        <f>IF(F16&gt;200,"High",IF(AND(F16&gt;100,F16&lt;200),"Medium","low"))</f>
        <v>High</v>
      </c>
      <c r="V26" s="7">
        <f>IF(AND(F16&gt;=150,H16="North"),500,300)</f>
        <v>500</v>
      </c>
      <c r="X26" s="7" t="str">
        <f>IF(F16 &gt;= PERCENTILE($F$12:$F$17, 0.75), "High Performer", "Not a High Performer")</f>
        <v>High Performer</v>
      </c>
    </row>
    <row r="27" spans="4:24" ht="20.25" thickBot="1">
      <c r="J27" s="8" t="str">
        <f>IF(AND(F17&gt;=G17),"Yes","No")</f>
        <v>No</v>
      </c>
      <c r="L27" s="8" t="str">
        <f>IF(AND(H17="North",F17&gt;=200),"Eligible","Not Eligible")</f>
        <v>Not Eligible</v>
      </c>
      <c r="N27" s="8" t="str">
        <f>IF(F17&gt;=200,"10%",IF(F17&gt;=150,"7%","5%"))</f>
        <v>5%</v>
      </c>
      <c r="P27" s="8">
        <f>IF(F17&gt;=G17,0.1*F17,0.05*F17)</f>
        <v>6.5</v>
      </c>
      <c r="R27" s="8" t="str">
        <f>IF(F17&gt;=200,"Excellent",IF(F17&gt;=150,"Good","Need Improvement"))</f>
        <v>Need Improvement</v>
      </c>
      <c r="T27" s="8" t="str">
        <f>IF(F17&gt;200,"High",IF(AND(F17&gt;100,F17&lt;200),"Medium","low"))</f>
        <v>Medium</v>
      </c>
      <c r="V27" s="8">
        <f>IF(AND(F17&gt;=150,H17="North"),500,300)</f>
        <v>300</v>
      </c>
      <c r="X27" s="8" t="str">
        <f>IF(F17 &gt;= PERCENTILE($F$12:$F$17, 0.75), "High Performer", "Not a High Performer")</f>
        <v>Not a High Performer</v>
      </c>
    </row>
  </sheetData>
  <mergeCells count="1">
    <mergeCell ref="D4:X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Aakash Mitra</dc:creator>
  <cp:lastModifiedBy>Aakash Mitra</cp:lastModifiedBy>
  <dcterms:created xsi:type="dcterms:W3CDTF">2025-11-23T19:32:45Z</dcterms:created>
  <dcterms:modified xsi:type="dcterms:W3CDTF">2025-12-01T17:45:20Z</dcterms:modified>
</cp:coreProperties>
</file>
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kash Mitra\Desktop\Anudip\Lab Work\"/>
    </mc:Choice>
  </mc:AlternateContent>
  <xr:revisionPtr revIDLastSave="0" documentId="13_ncr:1_{676F5D59-16D9-42F2-A2F9-0CC959499DE6}" xr6:coauthVersionLast="47" xr6:coauthVersionMax="47" xr10:uidLastSave="{00000000-0000-0000-0000-000000000000}"/>
  <bookViews>
    <workbookView xWindow="6165" yWindow="3150" windowWidth="21600" windowHeight="11385" xr2:uid="{ED9B1F8E-CF28-450E-97A7-FDF7B62C268C}"/>
  </bookViews>
  <sheets>
    <sheet name="SalesData" sheetId="1" r:id="rId1"/>
  </sheets>
  <definedNames>
    <definedName name="SalesData">SalesData!$R$18:$W$24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21" i="1" l="1"/>
  <c r="AE21" i="1" a="1"/>
  <c r="AE21" i="1" s="1"/>
  <c r="AD21" i="1" a="1"/>
  <c r="AD21" i="1" s="1"/>
  <c r="AC21" i="1" a="1"/>
  <c r="AC21" i="1" s="1"/>
  <c r="AA21" i="1"/>
  <c r="Z21" i="1"/>
  <c r="Y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<sst xmlns="http://schemas.openxmlformats.org/spreadsheetml/2006/main" count="19" uniqueCount="19">
  <si>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</si>
  <si>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</si>
  <si>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</si>
  <si>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</si>
  <si>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</si>
  <si>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</si>
  <si>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</si>
  <si>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</si>
  <si>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</si>
  <si>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</si>
  <si>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</si>
  <si>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Assignment-3</t>
  </si>
  <si>
    <t>Answer 1.</t>
  </si>
  <si>
    <t>Answer 2.</t>
  </si>
  <si>
    <t>Answer 3.</t>
  </si>
  <si>
    <t>Answer 4.</t>
  </si>
  <si>
    <t>Answer 5.</t>
  </si>
  <si>
    <t>Answer 6.</t>
  </si>
  <si>
    <t>Answer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</si>
</sst>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8"/>
      <color theme="1"/>
      <name val="Century Gothic"/>
      <family val="2"/>
    </font>
    <font>
      <sz val="18"/>
      <color theme="1"/>
      <name val="Century Gothic"/>
      <family val="2"/>
    </font>
    <font>
      <sz val="8"/>
      <name val="Aptos Narrow"/>
      <family val="2"/>
      <scheme val="minor"/>
    </font>
    <font>
      <b/>
      <sz val="22"/>
      <color theme="1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A983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dashed">
        <color auto="1"/>
      </left>
      <right style="thin">
        <color indexed="64"/>
      </right>
      <top style="thin">
        <color indexed="64"/>
      </top>
      <bottom style="dashed">
        <color auto="1"/>
      </bottom>
      <diagonal/>
    </border>
    <border>
      <left style="thin">
        <color indexed="64"/>
      </left>
      <right style="dashed">
        <color auto="1"/>
      </right>
      <top style="dashed">
        <color auto="1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indexed="64"/>
      </bottom>
      <diagonal/>
    </border>
    <border>
      <left style="dashed">
        <color auto="1"/>
      </left>
      <right style="thin">
        <color indexed="64"/>
      </right>
      <top style="dashed">
        <color auto="1"/>
      </top>
      <bottom style="thin">
        <color indexed="64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13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66CCFF"/>
      <color rgb="FFFF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</xdr:colOff>
      <xdr:row>5</xdr:row>
      <xdr:rowOff>57150</xdr:rowOff>
    </xdr:from>
    <xdr:to>
      <xdr:col>30</xdr:col>
      <xdr:colOff>1009650</xdr:colOff>
      <xdr:row>14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0FA507-2CED-4868-FDA4-F5F53DD15DE5}"/>
            </a:ext>
          </a:extLst>
        </xdr:cNvPr>
        <xdr:cNvSpPr txBox="1"/>
      </xdr:nvSpPr>
      <xdr:spPr>
        <a:xfrm>
          <a:off x="8267700" y="1133475"/>
          <a:ext cx="10467975" cy="1704975"/>
        </a:xfrm>
        <a:prstGeom prst="rect">
          <a:avLst/>
        </a:prstGeom>
        <a:solidFill>
          <a:srgbClr val="FFCC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1. </a:t>
          </a:r>
          <a:r>
            <a:rPr lang="en-IN" sz="14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Use HLOOKUP to find the sales for Product A in March.</a:t>
          </a:r>
        </a:p>
        <a:p>
          <a:r>
            <a:rPr lang="en-IN" sz="14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2. </a:t>
          </a:r>
          <a:r>
            <a:rPr lang="en-IN" sz="14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Use HLOOKUP to find the sales for Product D in May.</a:t>
          </a:r>
        </a:p>
        <a:p>
          <a:r>
            <a:rPr lang="en-IN" sz="14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3. </a:t>
          </a:r>
          <a:r>
            <a:rPr lang="en-IN" sz="14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Use HLOOKUP to find the sales for Product C in February.</a:t>
          </a:r>
        </a:p>
        <a:p>
          <a:r>
            <a:rPr lang="en-IN" sz="14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4. </a:t>
          </a:r>
          <a:r>
            <a:rPr lang="en-IN" sz="14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Use HLOOKUP to find the sales for each month for a product, then calculate the total sales for that product.</a:t>
          </a:r>
        </a:p>
        <a:p>
          <a:r>
            <a:rPr lang="en-IN" sz="14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5. </a:t>
          </a:r>
          <a:r>
            <a:rPr lang="en-IN" sz="14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Use HLOOKUP to find the maximum sales value for Product B across all months.</a:t>
          </a:r>
        </a:p>
        <a:p>
          <a:r>
            <a:rPr lang="en-IN" sz="14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6. </a:t>
          </a:r>
          <a:r>
            <a:rPr lang="en-IN" sz="14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Use HLOOKUP to find the minimum sales value for Product F across all months.</a:t>
          </a:r>
          <a:endParaRPr lang="en-IN" sz="1400" b="1" i="0">
            <a:solidFill>
              <a:schemeClr val="dk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IN" sz="1400" b="1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7.</a:t>
          </a:r>
          <a:r>
            <a:rPr lang="en-IN" sz="1400" b="0" i="0">
              <a:solidFill>
                <a:schemeClr val="dk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Use HLOOKUP to find the average sales value for Product E across all months.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0593-B421-4B7A-AF0F-DDC17CF2094B}">
  <dimension ref="R3:AF24"/>
  <sheetViews>
    <sheetView tabSelected="1" topLeftCell="P1" workbookViewId="0">
      <selection activeCell="R6" sqref="R6"/>
    </sheetView>
  </sheetViews>
  <sheetFormatPr defaultRowHeight="14.25"/>
  <cols>
    <col min="3" max="3" width="4" bestFit="1" customWidth="1"/>
    <col min="4" max="4" width="3.875" bestFit="1" customWidth="1"/>
    <col min="5" max="5" width="4" bestFit="1" customWidth="1"/>
    <col min="6" max="6" width="3.875" bestFit="1" customWidth="1"/>
    <col min="7" max="7" width="4.25" bestFit="1" customWidth="1"/>
    <col min="8" max="10" width="3.875" bestFit="1" customWidth="1"/>
    <col min="11" max="11" width="7.375" bestFit="1" customWidth="1"/>
    <col min="12" max="12" width="3.875" bestFit="1" customWidth="1"/>
    <col min="13" max="13" width="4.875" bestFit="1" customWidth="1"/>
    <col min="14" max="14" width="3.875" bestFit="1" customWidth="1"/>
    <col min="15" max="15" width="4.375" bestFit="1" customWidth="1"/>
    <col min="18" max="18" width="16" bestFit="1" customWidth="1"/>
    <col min="19" max="19" width="6.625" bestFit="1" customWidth="1"/>
    <col min="20" max="20" width="6.75" bestFit="1" customWidth="1"/>
    <col min="21" max="21" width="7.125" bestFit="1" customWidth="1"/>
    <col min="22" max="22" width="6.625" bestFit="1" customWidth="1"/>
    <col min="23" max="24" width="7.875" bestFit="1" customWidth="1"/>
    <col min="25" max="31" width="13.625" bestFit="1" customWidth="1"/>
  </cols>
  <sheetData>
    <row r="3" spans="18:32" ht="15" thickBot="1"/>
    <row r="4" spans="18:32" ht="30" thickBot="1">
      <c r="R4" s="18" t="s">
        <v>11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/>
    </row>
    <row r="6" spans="18:32"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3"/>
    </row>
    <row r="7" spans="18:32"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3"/>
    </row>
    <row r="8" spans="18:32"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3"/>
    </row>
    <row r="9" spans="18:32"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3"/>
    </row>
    <row r="10" spans="18:32"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3"/>
    </row>
    <row r="11" spans="18:32"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3"/>
    </row>
    <row r="12" spans="18:32"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3"/>
    </row>
    <row r="13" spans="18:32"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3"/>
    </row>
    <row r="14" spans="18:32"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3"/>
    </row>
    <row r="15" spans="18:32"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3"/>
    </row>
    <row r="17" spans="18:31" ht="15" thickBot="1"/>
    <row r="18" spans="18:31" ht="22.5">
      <c r="R18" s="14"/>
      <c r="S18" s="15" t="s">
        <v>0</v>
      </c>
      <c r="T18" s="15" t="s">
        <v>1</v>
      </c>
      <c r="U18" s="15" t="s">
        <v>2</v>
      </c>
      <c r="V18" s="15" t="s">
        <v>3</v>
      </c>
      <c r="W18" s="16" t="s">
        <v>4</v>
      </c>
    </row>
    <row r="19" spans="18:31" ht="24">
      <c r="R19" s="1" t="s">
        <v>5</v>
      </c>
      <c r="S19" s="2">
        <v>120</v>
      </c>
      <c r="T19" s="2">
        <v>130</v>
      </c>
      <c r="U19" s="2">
        <v>140</v>
      </c>
      <c r="V19" s="2">
        <v>150</v>
      </c>
      <c r="W19" s="3">
        <v>160</v>
      </c>
    </row>
    <row r="20" spans="18:31" ht="24">
      <c r="R20" s="1" t="s">
        <v>6</v>
      </c>
      <c r="S20" s="2">
        <v>150</v>
      </c>
      <c r="T20" s="2">
        <v>160</v>
      </c>
      <c r="U20" s="2">
        <v>170</v>
      </c>
      <c r="V20" s="2">
        <v>180</v>
      </c>
      <c r="W20" s="3">
        <v>190</v>
      </c>
      <c r="Y20" s="7" t="s">
        <v>12</v>
      </c>
      <c r="Z20" s="8" t="s">
        <v>13</v>
      </c>
      <c r="AA20" s="8" t="s">
        <v>14</v>
      </c>
      <c r="AB20" s="8" t="s">
        <v>15</v>
      </c>
      <c r="AC20" s="8" t="s">
        <v>16</v>
      </c>
      <c r="AD20" s="8" t="s">
        <v>17</v>
      </c>
      <c r="AE20" s="9" t="s">
        <v>18</v>
      </c>
    </row>
    <row r="21" spans="18:31" ht="24">
      <c r="R21" s="1" t="s">
        <v>7</v>
      </c>
      <c r="S21" s="2">
        <v>200</v>
      </c>
      <c r="T21" s="2">
        <v>210</v>
      </c>
      <c r="U21" s="2">
        <v>220</v>
      </c>
      <c r="V21" s="2">
        <v>230</v>
      </c>
      <c r="W21" s="3">
        <v>240</v>
      </c>
      <c r="Y21" s="10">
        <f>HLOOKUP(U18,SalesData,2,0)</f>
        <v>140</v>
      </c>
      <c r="Z21" s="11">
        <f>HLOOKUP(W18,SalesData,5,0)</f>
        <v>130</v>
      </c>
      <c r="AA21" s="11">
        <f>HLOOKUP(T18,SalesData,4,0)</f>
        <v>210</v>
      </c>
      <c r="AB21" s="11">
        <f>HLOOKUP(S18, $S$18:$W$24, MATCH($R$21, $R$19:$R$24, 0)+1, 0)
+HLOOKUP(T18, $S$18:$W$24, MATCH($R$21, $R$19:$R$24, 0)+1, 0)
+HLOOKUP(U18, $S$18:$W$24, MATCH($R$21, $R$19:$R$24, 0)+1, 0)
+HLOOKUP(V18, $S$18:$W$24, MATCH($R$21, $R$19:$R$24, 0)+1, 0)
+HLOOKUP(W18, $S$18:$W$24, MATCH($R$21, $R$19:$R$24, 0)+1, 0)</f>
        <v>1100</v>
      </c>
      <c r="AC21" s="11" cm="1">
        <f t="array" ref="AC21">MAX(HLOOKUP(S18:W18,SalesData,3,0))</f>
        <v>190</v>
      </c>
      <c r="AD21" s="11" cm="1">
        <f t="array" ref="AD21">MIN(HLOOKUP(S18:W18,SalesData,7,0))</f>
        <v>130</v>
      </c>
      <c r="AE21" s="12" cm="1">
        <f t="array" ref="AE21">AVERAGE(HLOOKUP(S18:W18,SalesData,6,0))</f>
        <v>240</v>
      </c>
    </row>
    <row r="22" spans="18:31" ht="24">
      <c r="R22" s="1" t="s">
        <v>8</v>
      </c>
      <c r="S22" s="2">
        <v>90</v>
      </c>
      <c r="T22" s="2">
        <v>100</v>
      </c>
      <c r="U22" s="2">
        <v>110</v>
      </c>
      <c r="V22" s="2">
        <v>120</v>
      </c>
      <c r="W22" s="3">
        <v>130</v>
      </c>
    </row>
    <row r="23" spans="18:31" ht="24">
      <c r="R23" s="1" t="s">
        <v>9</v>
      </c>
      <c r="S23" s="2">
        <v>220</v>
      </c>
      <c r="T23" s="2">
        <v>230</v>
      </c>
      <c r="U23" s="2">
        <v>240</v>
      </c>
      <c r="V23" s="2">
        <v>250</v>
      </c>
      <c r="W23" s="3">
        <v>260</v>
      </c>
    </row>
    <row r="24" spans="18:31" ht="24.75" thickBot="1">
      <c r="R24" s="4" t="s">
        <v>10</v>
      </c>
      <c r="S24" s="5">
        <v>130</v>
      </c>
      <c r="T24" s="5">
        <v>140</v>
      </c>
      <c r="U24" s="5">
        <v>150</v>
      </c>
      <c r="V24" s="5">
        <v>160</v>
      </c>
      <c r="W24" s="6">
        <v>170</v>
      </c>
    </row>
  </sheetData>
  <mergeCells count="2">
    <mergeCell ref="R4:AF4"/>
    <mergeCell ref="S6:AE15"/>
  </mergeCells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SalesData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Mitra</dc:creator>
  <cp:lastModifiedBy>Aakash Mitra</cp:lastModifiedBy>
  <dcterms:created xsi:type="dcterms:W3CDTF">2025-11-28T20:51:29Z</dcterms:created>
  <dcterms:modified xsi:type="dcterms:W3CDTF">2025-12-15T14:42:02Z</dcterms:modified>
</cp:coreProperties>
</file>
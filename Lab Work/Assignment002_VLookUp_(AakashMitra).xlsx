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sh Mitra\Desktop\Anudip\Lab Work\"/>
    </mc:Choice>
  </mc:AlternateContent>
  <xr:revisionPtr revIDLastSave="0" documentId="13_ncr:1_{0E5F66BF-1C30-4079-AC88-98E40307D129}" xr6:coauthVersionLast="47" xr6:coauthVersionMax="47" xr10:uidLastSave="{00000000-0000-0000-0000-000000000000}"/>
  <bookViews>
    <workbookView xWindow="-120" yWindow="-120" windowWidth="29040" windowHeight="15840" activeTab="1" xr2:uid="{1EF9BF2A-4053-48EF-BCB3-0C84546A481C}"/>
  </bookViews>
  <sheets>
    <sheet name="Products" sheetId="1" r:id="rId1"/>
    <sheet name="Orders" sheetId="2" r:id="rId2"/>
  </sheets>
  <definedNames>
    <definedName name="Products">Products!$K$10:$M$15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3" i="2" l="1"/>
  <c r="O13" i="2" s="1"/>
  <c r="N14" i="2"/>
  <c r="O14" i="2" s="1"/>
  <c r="N15" i="2"/>
  <c r="O15" i="2" s="1"/>
  <c r="N16" i="2"/>
  <c r="O16" i="2" s="1"/>
  <c r="N17" i="2"/>
  <c r="O17" i="2" s="1"/>
  <c r="N18" i="2"/>
  <c r="O18" i="2" s="1"/>
  <c r="M14" i="2"/>
  <c r="M15" i="2"/>
  <c r="M16" i="2"/>
  <c r="M17" i="2"/>
  <c r="M18" i="2"/>
  <c r="M13" i="2"/>
  <c r="L13" i="2"/>
  <c r="L14" i="2"/>
  <c r="L15" i="2"/>
  <c r="L16" i="2"/>
  <c r="L17" i="2"/>
  <c r="L18" i="2"/>
  <c r="L19" i="2"/>
  <c r="I14" i="2"/>
  <c r="J14" i="2" s="1"/>
  <c r="I15" i="2"/>
  <c r="J15" i="2" s="1"/>
  <c r="I16" i="2"/>
  <c r="J16" i="2" s="1"/>
  <c r="I17" i="2"/>
  <c r="J17" i="2" s="1"/>
  <c r="I18" i="2"/>
  <c r="J18" i="2" s="1"/>
  <c r="I13" i="2"/>
  <c r="J13" i="2" s="1"/>
  <c r="H19" i="2"/>
  <c r="H14" i="2"/>
  <c r="H15" i="2"/>
  <c r="H16" i="2"/>
  <c r="H17" i="2"/>
  <c r="H18" i="2"/>
  <c r="H13" i="2"/>
  <c r="E13" i="2" l="1"/>
  <c r="E14" i="2"/>
  <c r="E15" i="2"/>
  <c r="E16" i="2"/>
  <c r="E17" i="2"/>
  <c r="E18" i="2"/>
  <c r="F13" i="2"/>
  <c r="F14" i="2"/>
  <c r="F15" i="2"/>
  <c r="F16" i="2"/>
  <c r="F17" i="2"/>
  <c r="F18" i="2"/>
  <c r="G15" i="2" l="1"/>
  <c r="G18" i="2"/>
  <c r="G16" i="2"/>
  <c r="G14" i="2"/>
  <c r="G17" i="2"/>
  <c r="G13" i="2"/>
  <c r="K13" i="2" l="1"/>
</calcChain>
</file>

<file path=xl/sharedStrings.xml><?xml version="1.0" encoding="utf-8"?>
<sst xmlns="http://schemas.openxmlformats.org/spreadsheetml/2006/main" count="34" uniqueCount="28">
  <si>
    <t>Products</t>
  </si>
  <si>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</si>
  <si>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</si>
  <si>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</si>
  <si>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</si>
  <si>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</si>
  <si>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</si>
  <si>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</si>
  <si>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</si>
  <si>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</si>
  <si>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</si>
  <si>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</si>
  <si>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</si>
  <si>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Orders</t>
  </si>
  <si>
    <t>Q1</t>
  </si>
  <si>
    <t>ProductName</t>
  </si>
  <si>
    <t>Q2</t>
  </si>
  <si>
    <t>Q3</t>
  </si>
  <si>
    <t>Product Available or Not</t>
  </si>
  <si>
    <t>Q4</t>
  </si>
  <si>
    <t>DiscountedPrice</t>
  </si>
  <si>
    <t>Disc.TotalPrice</t>
  </si>
  <si>
    <t>Q5</t>
  </si>
  <si>
    <t>MaxOrderValue</t>
  </si>
  <si>
    <t>Q6</t>
  </si>
  <si>
    <t>Order Status</t>
  </si>
  <si>
    <t>Q7</t>
  </si>
  <si>
    <t>Assignment-2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</si>
</sst>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8"/>
      <color theme="1"/>
      <name val="Algerian"/>
      <family val="5"/>
    </font>
    <font>
      <b/>
      <sz val="22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14"/>
      <color theme="1"/>
      <name val="Century Gothic"/>
      <family val="2"/>
    </font>
    <font>
      <b/>
      <sz val="18"/>
      <color theme="1"/>
      <name val="Century Gothic"/>
      <family val="2"/>
    </font>
    <font>
      <sz val="18"/>
      <color theme="1"/>
      <name val="Century Gothic"/>
      <family val="2"/>
    </font>
    <font>
      <b/>
      <sz val="18"/>
      <color theme="1"/>
      <name val="Algerian"/>
    </font>
    <font>
      <b/>
      <sz val="22"/>
      <color theme="1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rgb="FFC0E8FA"/>
        <bgColor indexed="64"/>
      </patternFill>
    </fill>
  </fills>
  <borders count="25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medium">
        <color indexed="64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medium">
        <color indexed="64"/>
      </right>
      <top style="dashDot">
        <color auto="1"/>
      </top>
      <bottom style="dashDot">
        <color auto="1"/>
      </bottom>
      <diagonal/>
    </border>
    <border>
      <left style="medium">
        <color indexed="64"/>
      </left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 style="medium">
        <color indexed="64"/>
      </right>
      <top style="dashDot">
        <color auto="1"/>
      </top>
      <bottom style="medium">
        <color indexed="64"/>
      </bottom>
      <diagonal/>
    </border>
    <border>
      <left style="medium">
        <color indexed="64"/>
      </left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 style="medium">
        <color indexed="64"/>
      </right>
      <top/>
      <bottom style="dashDot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thin">
        <color auto="1"/>
      </top>
      <bottom style="dashDotDot">
        <color auto="1"/>
      </bottom>
      <diagonal/>
    </border>
    <border>
      <left style="thin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thin">
        <color auto="1"/>
      </right>
      <top style="dashDotDot">
        <color auto="1"/>
      </top>
      <bottom style="dashDotDot">
        <color auto="1"/>
      </bottom>
      <diagonal/>
    </border>
    <border>
      <left style="thin">
        <color auto="1"/>
      </left>
      <right style="dashDotDot">
        <color auto="1"/>
      </right>
      <top style="dashDotDot">
        <color auto="1"/>
      </top>
      <bottom style="thin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thin">
        <color auto="1"/>
      </bottom>
      <diagonal/>
    </border>
    <border>
      <left style="dashDotDot">
        <color auto="1"/>
      </left>
      <right style="thin">
        <color auto="1"/>
      </right>
      <top style="dashDotDot">
        <color auto="1"/>
      </top>
      <bottom style="thin">
        <color auto="1"/>
      </bottom>
      <diagonal/>
    </border>
    <border>
      <left style="dashDotDot">
        <color auto="1"/>
      </left>
      <right/>
      <top style="thin">
        <color auto="1"/>
      </top>
      <bottom style="dashDotDot">
        <color auto="1"/>
      </bottom>
      <diagonal/>
    </border>
    <border>
      <left/>
      <right style="dashDotDot">
        <color auto="1"/>
      </right>
      <top style="thin">
        <color auto="1"/>
      </top>
      <bottom style="dashDotDot">
        <color auto="1"/>
      </bottom>
      <diagonal/>
    </border>
    <border>
      <left/>
      <right/>
      <top style="thin">
        <color auto="1"/>
      </top>
      <bottom style="dashDotDot">
        <color auto="1"/>
      </bottom>
      <diagonal/>
    </border>
    <border>
      <left/>
      <right style="thin">
        <color auto="1"/>
      </right>
      <top style="thin">
        <color auto="1"/>
      </top>
      <bottom style="dashDotDot">
        <color auto="1"/>
      </bottom>
      <diagonal/>
    </border>
    <border>
      <left style="thin">
        <color auto="1"/>
      </left>
      <right/>
      <top style="thin">
        <color auto="1"/>
      </top>
      <bottom style="dashDotDot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6" fillId="4" borderId="7" xfId="0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center" vertical="top"/>
    </xf>
    <xf numFmtId="0" fontId="6" fillId="4" borderId="9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7" fillId="5" borderId="3" xfId="0" applyFont="1" applyFill="1" applyBorder="1" applyAlignment="1">
      <alignment horizontal="center" vertical="top"/>
    </xf>
    <xf numFmtId="0" fontId="7" fillId="5" borderId="4" xfId="0" applyFont="1" applyFill="1" applyBorder="1" applyAlignment="1">
      <alignment horizontal="center" vertical="top"/>
    </xf>
    <xf numFmtId="0" fontId="7" fillId="5" borderId="5" xfId="0" applyFont="1" applyFill="1" applyBorder="1" applyAlignment="1">
      <alignment horizontal="center" vertical="top"/>
    </xf>
    <xf numFmtId="0" fontId="7" fillId="5" borderId="6" xfId="0" applyFont="1" applyFill="1" applyBorder="1" applyAlignment="1">
      <alignment horizontal="center" vertical="top"/>
    </xf>
    <xf numFmtId="0" fontId="5" fillId="13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top"/>
    </xf>
    <xf numFmtId="0" fontId="2" fillId="3" borderId="11" xfId="0" applyFont="1" applyFill="1" applyBorder="1" applyAlignment="1">
      <alignment horizontal="center" vertical="top"/>
    </xf>
    <xf numFmtId="0" fontId="2" fillId="3" borderId="12" xfId="0" applyFont="1" applyFill="1" applyBorder="1" applyAlignment="1">
      <alignment horizontal="center" vertical="top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5" fillId="13" borderId="20" xfId="0" applyFont="1" applyFill="1" applyBorder="1" applyAlignment="1">
      <alignment horizontal="center" vertical="center"/>
    </xf>
    <xf numFmtId="0" fontId="5" fillId="13" borderId="21" xfId="0" applyFont="1" applyFill="1" applyBorder="1" applyAlignment="1">
      <alignment horizontal="center" vertical="center"/>
    </xf>
    <xf numFmtId="0" fontId="5" fillId="13" borderId="22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horizontal="center" vertical="center"/>
    </xf>
    <xf numFmtId="0" fontId="5" fillId="13" borderId="2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E8FA"/>
      <color rgb="FFFF434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67B0-85B6-4142-8010-4ACF92AE34EE}">
  <dimension ref="D2:R15"/>
  <sheetViews>
    <sheetView workbookViewId="0">
      <selection activeCell="K11" sqref="K11"/>
    </sheetView>
  </sheetViews>
  <sheetFormatPr defaultRowHeight="15"/>
  <cols>
    <col min="4" max="4" width="15.42578125" bestFit="1" customWidth="1"/>
    <col min="5" max="5" width="15.28515625" bestFit="1" customWidth="1"/>
    <col min="6" max="6" width="8.42578125" bestFit="1" customWidth="1"/>
    <col min="8" max="8" width="15.42578125" bestFit="1" customWidth="1"/>
    <col min="9" max="9" width="15.28515625" bestFit="1" customWidth="1"/>
    <col min="10" max="10" width="8.42578125" bestFit="1" customWidth="1"/>
    <col min="11" max="11" width="17.5703125" bestFit="1" customWidth="1"/>
    <col min="12" max="12" width="18.85546875" bestFit="1" customWidth="1"/>
    <col min="13" max="13" width="9.7109375" bestFit="1" customWidth="1"/>
  </cols>
  <sheetData>
    <row r="2" spans="4:18" ht="15.75" thickBot="1"/>
    <row r="3" spans="4:18" ht="29.25" thickBot="1">
      <c r="F3" s="32" t="s">
        <v>27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</row>
    <row r="4" spans="4:18">
      <c r="D4" s="1"/>
      <c r="E4" s="1"/>
    </row>
    <row r="7" spans="4:18" ht="15.75" thickBot="1"/>
    <row r="8" spans="4:18" ht="24" thickBot="1">
      <c r="K8" s="29" t="s">
        <v>0</v>
      </c>
      <c r="L8" s="30"/>
      <c r="M8" s="31"/>
    </row>
    <row r="9" spans="4:18" ht="22.5">
      <c r="K9" s="2" t="s">
        <v>1</v>
      </c>
      <c r="L9" s="3" t="s">
        <v>2</v>
      </c>
      <c r="M9" s="4" t="s">
        <v>3</v>
      </c>
    </row>
    <row r="10" spans="4:18" ht="24">
      <c r="K10" s="5">
        <v>101</v>
      </c>
      <c r="L10" s="6" t="s">
        <v>4</v>
      </c>
      <c r="M10" s="7">
        <v>120</v>
      </c>
    </row>
    <row r="11" spans="4:18" ht="24">
      <c r="K11" s="5">
        <v>102</v>
      </c>
      <c r="L11" s="6" t="s">
        <v>5</v>
      </c>
      <c r="M11" s="7">
        <v>150</v>
      </c>
    </row>
    <row r="12" spans="4:18" ht="24">
      <c r="K12" s="5">
        <v>103</v>
      </c>
      <c r="L12" s="6" t="s">
        <v>6</v>
      </c>
      <c r="M12" s="7">
        <v>200</v>
      </c>
    </row>
    <row r="13" spans="4:18" ht="24">
      <c r="K13" s="5">
        <v>104</v>
      </c>
      <c r="L13" s="6" t="s">
        <v>7</v>
      </c>
      <c r="M13" s="7">
        <v>90</v>
      </c>
    </row>
    <row r="14" spans="4:18" ht="24">
      <c r="K14" s="5">
        <v>105</v>
      </c>
      <c r="L14" s="6" t="s">
        <v>8</v>
      </c>
      <c r="M14" s="7">
        <v>220</v>
      </c>
    </row>
    <row r="15" spans="4:18" ht="24.75" thickBot="1">
      <c r="K15" s="8">
        <v>106</v>
      </c>
      <c r="L15" s="9" t="s">
        <v>9</v>
      </c>
      <c r="M15" s="10">
        <v>30</v>
      </c>
    </row>
  </sheetData>
  <mergeCells count="2">
    <mergeCell ref="K8:M8"/>
    <mergeCell ref="F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D3D8-23FF-4BC5-912B-F0389188C3D0}">
  <dimension ref="B4:O19"/>
  <sheetViews>
    <sheetView tabSelected="1" zoomScaleNormal="100" workbookViewId="0">
      <selection activeCell="F10" sqref="F10"/>
    </sheetView>
  </sheetViews>
  <sheetFormatPr defaultRowHeight="15"/>
  <cols>
    <col min="2" max="2" width="11.42578125" bestFit="1" customWidth="1"/>
    <col min="3" max="3" width="14.140625" bestFit="1" customWidth="1"/>
    <col min="4" max="4" width="12.5703125" bestFit="1" customWidth="1"/>
    <col min="5" max="5" width="19.85546875" bestFit="1" customWidth="1"/>
    <col min="6" max="6" width="7.85546875" bestFit="1" customWidth="1"/>
    <col min="7" max="7" width="14.28515625" bestFit="1" customWidth="1"/>
    <col min="8" max="8" width="34.5703125" bestFit="1" customWidth="1"/>
    <col min="9" max="9" width="23" bestFit="1" customWidth="1"/>
    <col min="10" max="10" width="20.5703125" bestFit="1" customWidth="1"/>
    <col min="11" max="11" width="22.85546875" bestFit="1" customWidth="1"/>
    <col min="12" max="12" width="17.5703125" bestFit="1" customWidth="1"/>
    <col min="13" max="13" width="14.7109375" bestFit="1" customWidth="1"/>
    <col min="14" max="14" width="7.85546875" bestFit="1" customWidth="1"/>
    <col min="15" max="15" width="14.28515625" bestFit="1" customWidth="1"/>
  </cols>
  <sheetData>
    <row r="4" spans="2:15" ht="15.75" thickBot="1"/>
    <row r="5" spans="2:15" ht="29.25" thickBot="1">
      <c r="D5" s="35" t="s">
        <v>27</v>
      </c>
      <c r="E5" s="36"/>
      <c r="F5" s="36"/>
      <c r="G5" s="36"/>
      <c r="H5" s="36"/>
      <c r="I5" s="36"/>
      <c r="J5" s="36"/>
      <c r="K5" s="36"/>
      <c r="L5" s="37"/>
    </row>
    <row r="11" spans="2:15" ht="18">
      <c r="B11" s="42" t="s">
        <v>13</v>
      </c>
      <c r="C11" s="40"/>
      <c r="D11" s="39"/>
      <c r="E11" s="11" t="s">
        <v>14</v>
      </c>
      <c r="F11" s="38" t="s">
        <v>16</v>
      </c>
      <c r="G11" s="39"/>
      <c r="H11" s="11" t="s">
        <v>17</v>
      </c>
      <c r="I11" s="38" t="s">
        <v>19</v>
      </c>
      <c r="J11" s="39"/>
      <c r="K11" s="11" t="s">
        <v>22</v>
      </c>
      <c r="L11" s="11" t="s">
        <v>24</v>
      </c>
      <c r="M11" s="38" t="s">
        <v>26</v>
      </c>
      <c r="N11" s="40"/>
      <c r="O11" s="41"/>
    </row>
    <row r="12" spans="2:15" ht="18">
      <c r="B12" s="12" t="s">
        <v>10</v>
      </c>
      <c r="C12" s="13" t="s">
        <v>1</v>
      </c>
      <c r="D12" s="13" t="s">
        <v>11</v>
      </c>
      <c r="E12" s="13" t="s">
        <v>15</v>
      </c>
      <c r="F12" s="13" t="s">
        <v>3</v>
      </c>
      <c r="G12" s="13" t="s">
        <v>12</v>
      </c>
      <c r="H12" s="13" t="s">
        <v>18</v>
      </c>
      <c r="I12" s="13" t="s">
        <v>20</v>
      </c>
      <c r="J12" s="13" t="s">
        <v>21</v>
      </c>
      <c r="K12" s="13" t="s">
        <v>23</v>
      </c>
      <c r="L12" s="13" t="s">
        <v>25</v>
      </c>
      <c r="M12" s="13" t="s">
        <v>2</v>
      </c>
      <c r="N12" s="13" t="s">
        <v>3</v>
      </c>
      <c r="O12" s="14" t="s">
        <v>12</v>
      </c>
    </row>
    <row r="13" spans="2:15" ht="18">
      <c r="B13" s="43">
        <v>1</v>
      </c>
      <c r="C13" s="44">
        <v>101</v>
      </c>
      <c r="D13" s="44">
        <v>2</v>
      </c>
      <c r="E13" s="15" t="str">
        <f>VLOOKUP(Orders!C13,Products,2,0)</f>
        <v>Product A</v>
      </c>
      <c r="F13" s="16">
        <f>VLOOKUP(Orders!C13,Products,3,0)</f>
        <v>120</v>
      </c>
      <c r="G13" s="16">
        <f t="shared" ref="G13:G18" si="0">D13*F13</f>
        <v>240</v>
      </c>
      <c r="H13" s="17" t="str">
        <f t="shared" ref="H13:H19" si="1">IF(ISNA(VLOOKUP(C13,Products,2,0)),"Product not Exist","Product Exist")</f>
        <v>Product Exist</v>
      </c>
      <c r="I13" s="18">
        <f>VLOOKUP(C13,Products!$K$9:$M$15,3,0) * 0.9</f>
        <v>108</v>
      </c>
      <c r="J13" s="18">
        <f>D13*I13</f>
        <v>216</v>
      </c>
      <c r="K13" s="19">
        <f>MAX(G13:G18)</f>
        <v>880</v>
      </c>
      <c r="L13" s="20" t="str">
        <f>IF(ISNA(VLOOKUP(C13,Products!$K$10:$K$15,2,0)),"NotOrdered","Ordered")</f>
        <v>Ordered</v>
      </c>
      <c r="M13" s="21" t="str">
        <f>VLOOKUP(C13,Products!$K$9:$M$15,2,0)</f>
        <v>Product A</v>
      </c>
      <c r="N13" s="21">
        <f>VLOOKUP(C13,Products!$K$9:$M$15,3,1)</f>
        <v>120</v>
      </c>
      <c r="O13" s="22">
        <f>D13*N13</f>
        <v>240</v>
      </c>
    </row>
    <row r="14" spans="2:15" ht="18">
      <c r="B14" s="43">
        <v>2</v>
      </c>
      <c r="C14" s="44">
        <v>103</v>
      </c>
      <c r="D14" s="44">
        <v>1</v>
      </c>
      <c r="E14" s="15" t="str">
        <f>VLOOKUP(Orders!C14,Products,2,0)</f>
        <v>Product C</v>
      </c>
      <c r="F14" s="16">
        <f>VLOOKUP(Orders!C14,Products,3,0)</f>
        <v>200</v>
      </c>
      <c r="G14" s="16">
        <f t="shared" si="0"/>
        <v>200</v>
      </c>
      <c r="H14" s="17" t="str">
        <f t="shared" si="1"/>
        <v>Product Exist</v>
      </c>
      <c r="I14" s="18">
        <f>VLOOKUP(C14,Products!$K$9:$M$15,3,0) * 0.9</f>
        <v>180</v>
      </c>
      <c r="J14" s="18">
        <f t="shared" ref="J14:J18" si="2">D14*I14</f>
        <v>180</v>
      </c>
      <c r="K14" s="23"/>
      <c r="L14" s="20" t="str">
        <f>IF(ISNA(VLOOKUP(C14,Products!$K$10:$K$15,2,0)),"NotOrdered","Ordered")</f>
        <v>Ordered</v>
      </c>
      <c r="M14" s="21" t="str">
        <f>VLOOKUP(C14,Products!$K$9:$M$15,2,0)</f>
        <v>Product C</v>
      </c>
      <c r="N14" s="21">
        <f>VLOOKUP(C14,Products!$K$9:$M$15,3,1)</f>
        <v>200</v>
      </c>
      <c r="O14" s="22">
        <f t="shared" ref="O14:O18" si="3">D14*N14</f>
        <v>200</v>
      </c>
    </row>
    <row r="15" spans="2:15" ht="18">
      <c r="B15" s="43">
        <v>3</v>
      </c>
      <c r="C15" s="44">
        <v>105</v>
      </c>
      <c r="D15" s="44">
        <v>4</v>
      </c>
      <c r="E15" s="15" t="str">
        <f>VLOOKUP(Orders!C15,Products,2,0)</f>
        <v>Product E</v>
      </c>
      <c r="F15" s="16">
        <f>VLOOKUP(Orders!C15,Products,3,0)</f>
        <v>220</v>
      </c>
      <c r="G15" s="16">
        <f t="shared" si="0"/>
        <v>880</v>
      </c>
      <c r="H15" s="17" t="str">
        <f t="shared" si="1"/>
        <v>Product Exist</v>
      </c>
      <c r="I15" s="18">
        <f>VLOOKUP(C15,Products!$K$9:$M$15,3,0) * 0.9</f>
        <v>198</v>
      </c>
      <c r="J15" s="18">
        <f t="shared" si="2"/>
        <v>792</v>
      </c>
      <c r="K15" s="23"/>
      <c r="L15" s="20" t="str">
        <f>IF(ISNA(VLOOKUP(C15,Products!$K$10:$K$15,2,0)),"NotOrdered","Ordered")</f>
        <v>Ordered</v>
      </c>
      <c r="M15" s="21" t="str">
        <f>VLOOKUP(C15,Products!$K$9:$M$15,2,0)</f>
        <v>Product E</v>
      </c>
      <c r="N15" s="21">
        <f>VLOOKUP(C15,Products!$K$9:$M$15,3,1)</f>
        <v>220</v>
      </c>
      <c r="O15" s="22">
        <f t="shared" si="3"/>
        <v>880</v>
      </c>
    </row>
    <row r="16" spans="2:15" ht="18">
      <c r="B16" s="43">
        <v>4</v>
      </c>
      <c r="C16" s="44">
        <v>106</v>
      </c>
      <c r="D16" s="44">
        <v>3</v>
      </c>
      <c r="E16" s="15" t="str">
        <f>VLOOKUP(Orders!C16,Products,2,0)</f>
        <v>Product F</v>
      </c>
      <c r="F16" s="16">
        <f>VLOOKUP(Orders!C16,Products,3,0)</f>
        <v>30</v>
      </c>
      <c r="G16" s="16">
        <f t="shared" si="0"/>
        <v>90</v>
      </c>
      <c r="H16" s="17" t="str">
        <f t="shared" si="1"/>
        <v>Product Exist</v>
      </c>
      <c r="I16" s="18">
        <f>VLOOKUP(C16,Products!$K$9:$M$15,3,0) * 0.9</f>
        <v>27</v>
      </c>
      <c r="J16" s="18">
        <f t="shared" si="2"/>
        <v>81</v>
      </c>
      <c r="K16" s="23"/>
      <c r="L16" s="20" t="str">
        <f>IF(ISNA(VLOOKUP(C16,Products!$K$10:$K$15,2,0)),"NotOrdered","Ordered")</f>
        <v>Ordered</v>
      </c>
      <c r="M16" s="21" t="str">
        <f>VLOOKUP(C16,Products!$K$9:$M$15,2,0)</f>
        <v>Product F</v>
      </c>
      <c r="N16" s="21">
        <f>VLOOKUP(C16,Products!$K$9:$M$15,3,1)</f>
        <v>30</v>
      </c>
      <c r="O16" s="22">
        <f t="shared" si="3"/>
        <v>90</v>
      </c>
    </row>
    <row r="17" spans="2:15" ht="18">
      <c r="B17" s="43">
        <v>5</v>
      </c>
      <c r="C17" s="44">
        <v>102</v>
      </c>
      <c r="D17" s="44">
        <v>5</v>
      </c>
      <c r="E17" s="15" t="str">
        <f>VLOOKUP(Orders!C17,Products,2,0)</f>
        <v>Product B</v>
      </c>
      <c r="F17" s="16">
        <f>VLOOKUP(Orders!C17,Products,3,0)</f>
        <v>150</v>
      </c>
      <c r="G17" s="16">
        <f t="shared" si="0"/>
        <v>750</v>
      </c>
      <c r="H17" s="17" t="str">
        <f t="shared" si="1"/>
        <v>Product Exist</v>
      </c>
      <c r="I17" s="18">
        <f>VLOOKUP(C17,Products!$K$9:$M$15,3,0) * 0.9</f>
        <v>135</v>
      </c>
      <c r="J17" s="18">
        <f t="shared" si="2"/>
        <v>675</v>
      </c>
      <c r="K17" s="23"/>
      <c r="L17" s="20" t="str">
        <f>IF(ISNA(VLOOKUP(C17,Products!$K$10:$K$15,2,0)),"NotOrdered","Ordered")</f>
        <v>Ordered</v>
      </c>
      <c r="M17" s="21" t="str">
        <f>VLOOKUP(C17,Products!$K$9:$M$15,2,0)</f>
        <v>Product B</v>
      </c>
      <c r="N17" s="21">
        <f>VLOOKUP(C17,Products!$K$9:$M$15,3,1)</f>
        <v>150</v>
      </c>
      <c r="O17" s="22">
        <f t="shared" si="3"/>
        <v>750</v>
      </c>
    </row>
    <row r="18" spans="2:15" ht="18">
      <c r="B18" s="43">
        <v>6</v>
      </c>
      <c r="C18" s="44">
        <v>104</v>
      </c>
      <c r="D18" s="44">
        <v>6</v>
      </c>
      <c r="E18" s="15" t="str">
        <f>VLOOKUP(Orders!C18,Products,2,0)</f>
        <v>Product D</v>
      </c>
      <c r="F18" s="16">
        <f>VLOOKUP(Orders!C18,Products,3,0)</f>
        <v>90</v>
      </c>
      <c r="G18" s="16">
        <f t="shared" si="0"/>
        <v>540</v>
      </c>
      <c r="H18" s="17" t="str">
        <f t="shared" si="1"/>
        <v>Product Exist</v>
      </c>
      <c r="I18" s="18">
        <f>VLOOKUP(C18,Products!$K$9:$M$15,3,0) * 0.9</f>
        <v>81</v>
      </c>
      <c r="J18" s="18">
        <f t="shared" si="2"/>
        <v>486</v>
      </c>
      <c r="K18" s="23"/>
      <c r="L18" s="20" t="str">
        <f>IF(ISNA(VLOOKUP(C18,Products!$K$10:$K$15,2,0)),"NotOrdered","Ordered")</f>
        <v>Ordered</v>
      </c>
      <c r="M18" s="21" t="str">
        <f>VLOOKUP(C18,Products!$K$9:$M$15,2,0)</f>
        <v>Product D</v>
      </c>
      <c r="N18" s="21">
        <f>VLOOKUP(C18,Products!$K$9:$M$15,3,1)</f>
        <v>90</v>
      </c>
      <c r="O18" s="22">
        <f t="shared" si="3"/>
        <v>540</v>
      </c>
    </row>
    <row r="19" spans="2:15" ht="18">
      <c r="B19" s="24"/>
      <c r="C19" s="45">
        <v>150</v>
      </c>
      <c r="D19" s="25"/>
      <c r="E19" s="25"/>
      <c r="F19" s="25"/>
      <c r="G19" s="25"/>
      <c r="H19" s="26" t="str">
        <f t="shared" si="1"/>
        <v>Product not Exist</v>
      </c>
      <c r="I19" s="25"/>
      <c r="J19" s="25"/>
      <c r="K19" s="25"/>
      <c r="L19" s="27" t="str">
        <f>IF(ISNA(VLOOKUP(C19,Products!$K$10:$K$15,2,0)),"NotOrdered","Ordered")</f>
        <v>NotOrdered</v>
      </c>
      <c r="M19" s="25"/>
      <c r="N19" s="25"/>
      <c r="O19" s="28"/>
    </row>
  </sheetData>
  <mergeCells count="5">
    <mergeCell ref="D5:L5"/>
    <mergeCell ref="I11:J11"/>
    <mergeCell ref="M11:O11"/>
    <mergeCell ref="F11:G11"/>
    <mergeCell ref="B11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Aakash Mitra</cp:lastModifiedBy>
  <dcterms:created xsi:type="dcterms:W3CDTF">2025-11-26T05:19:22Z</dcterms:created>
  <dcterms:modified xsi:type="dcterms:W3CDTF">2025-12-01T14:48:33Z</dcterms:modified>
</cp:coreProperties>
</file>
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kash Mitra\Desktop\Anudip\Lab Work\"/>
    </mc:Choice>
  </mc:AlternateContent>
  <xr:revisionPtr revIDLastSave="0" documentId="13_ncr:1_{3538E055-346C-409C-B45C-0ECE90E1F74C}" xr6:coauthVersionLast="47" xr6:coauthVersionMax="47" xr10:uidLastSave="{00000000-0000-0000-0000-000000000000}"/>
  <bookViews>
    <workbookView xWindow="-120" yWindow="-120" windowWidth="29040" windowHeight="15840" activeTab="1" xr2:uid="{1EF9BF2A-4053-48EF-BCB3-0C84546A481C}"/>
  </bookViews>
  <sheets>
    <sheet name="Products" sheetId="1" r:id="rId1"/>
    <sheet name="Orders" sheetId="2" r:id="rId2"/>
  </sheets>
  <definedNames>
    <definedName name="Products">Products!$K$19:$M$24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3" i="2" l="1"/>
  <c r="O13" i="2" s="1"/>
  <c r="N14" i="2"/>
  <c r="O14" i="2" s="1"/>
  <c r="N15" i="2"/>
  <c r="O15" i="2" s="1"/>
  <c r="N16" i="2"/>
  <c r="O16" i="2" s="1"/>
  <c r="N17" i="2"/>
  <c r="O17" i="2" s="1"/>
  <c r="N18" i="2"/>
  <c r="O18" i="2" s="1"/>
  <c r="M14" i="2"/>
  <c r="M15" i="2"/>
  <c r="M16" i="2"/>
  <c r="M17" i="2"/>
  <c r="M18" i="2"/>
  <c r="M13" i="2"/>
  <c r="L13" i="2"/>
  <c r="L14" i="2"/>
  <c r="L15" i="2"/>
  <c r="L16" i="2"/>
  <c r="L17" i="2"/>
  <c r="L18" i="2"/>
  <c r="L19" i="2"/>
  <c r="I14" i="2"/>
  <c r="J14" i="2" s="1"/>
  <c r="I15" i="2"/>
  <c r="J15" i="2" s="1"/>
  <c r="I16" i="2"/>
  <c r="J16" i="2" s="1"/>
  <c r="I17" i="2"/>
  <c r="J17" i="2" s="1"/>
  <c r="I18" i="2"/>
  <c r="J18" i="2" s="1"/>
  <c r="I13" i="2"/>
  <c r="J13" i="2" s="1"/>
  <c r="H19" i="2"/>
  <c r="H14" i="2"/>
  <c r="H15" i="2"/>
  <c r="H16" i="2"/>
  <c r="H17" i="2"/>
  <c r="H18" i="2"/>
  <c r="H13" i="2"/>
  <c r="E13" i="2" l="1"/>
  <c r="E14" i="2"/>
  <c r="E15" i="2"/>
  <c r="E16" i="2"/>
  <c r="E17" i="2"/>
  <c r="E18" i="2"/>
  <c r="F13" i="2"/>
  <c r="F14" i="2"/>
  <c r="F15" i="2"/>
  <c r="F16" i="2"/>
  <c r="F17" i="2"/>
  <c r="F18" i="2"/>
  <c r="G15" i="2" l="1"/>
  <c r="G18" i="2"/>
  <c r="G16" i="2"/>
  <c r="G14" i="2"/>
  <c r="G17" i="2"/>
  <c r="G13" i="2"/>
  <c r="K13" i="2" l="1"/>
</calcChain>
</file>

<file path=xl/sharedStrings.xml><?xml version="1.0" encoding="utf-8"?>
<sst xmlns="http://schemas.openxmlformats.org/spreadsheetml/2006/main" count="33" uniqueCount="28">
  <si>
    <t>Products</t>
  </si>
  <si>
    <t>ProductId</t>
  </si>
  <si>
    <t>Product</t>
  </si>
  <si>
    <t>Price</t>
  </si>
  <si>
    <t>Product A</t>
  </si>
  <si>
    <t>Product B</t>
  </si>
  <si>
    <t>Product C</t>
  </si>
  <si>
    <t>Product D</t>
  </si>
  <si>
    <t>Product E</t>
  </si>
  <si>
    <t>Product F</t>
  </si>
  <si>
    <t>OrderId</t>
  </si>
  <si>
    <t>Quantity</t>
  </si>
  <si>
    <t>TotalPrice</t>
  </si>
  <si>
    <t>Orders</t>
  </si>
  <si>
    <t>ProductName</t>
  </si>
  <si>
    <t>Product Available or Not</t>
  </si>
  <si>
    <t>DiscountedPrice</t>
  </si>
  <si>
    <t>Disc.TotalPrice</t>
  </si>
  <si>
    <t>MaxOrderValue</t>
  </si>
  <si>
    <t>Order Status</t>
  </si>
  <si>
    <t>Assignment-2</t>
  </si>
  <si>
    <t>Answer 1.</t>
  </si>
  <si>
    <t>Answer 2.</t>
  </si>
  <si>
    <t>Answer 3.</t>
  </si>
  <si>
    <t>Answer 4.</t>
  </si>
  <si>
    <t>Answer 5.</t>
  </si>
  <si>
    <t>Answer 6.</t>
  </si>
  <si>
    <t>Answer 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</si>
</sst>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_ [$₹-4009]\ * #,##0.00_ ;_ [$₹-4009]\ * \-#,##0.00_ ;_ [$₹-4009]\ * &quot;-&quot;??_ ;_ @_ 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entury Gothic"/>
      <family val="2"/>
    </font>
    <font>
      <b/>
      <sz val="14"/>
      <color theme="1"/>
      <name val="Century Gothic"/>
      <family val="2"/>
    </font>
    <font>
      <b/>
      <sz val="18"/>
      <color theme="1"/>
      <name val="Century Gothic"/>
      <family val="2"/>
    </font>
    <font>
      <sz val="11"/>
      <color theme="1"/>
      <name val="Calibri"/>
      <family val="2"/>
      <scheme val="minor"/>
    </font>
    <font>
      <u/>
      <sz val="18"/>
      <color theme="1"/>
      <name val="Century Gothic"/>
      <family val="2"/>
    </font>
    <font>
      <b/>
      <sz val="22"/>
      <color theme="1"/>
      <name val="Courier New"/>
      <family val="3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4343"/>
        <bgColor indexed="64"/>
      </patternFill>
    </fill>
    <fill>
      <patternFill patternType="solid">
        <fgColor rgb="FFC0E8FA"/>
        <bgColor indexed="64"/>
      </patternFill>
    </fill>
    <fill>
      <patternFill patternType="solid">
        <fgColor rgb="FFF1A983"/>
        <bgColor indexed="64"/>
      </patternFill>
    </fill>
  </fills>
  <borders count="25">
    <border>
      <left/>
      <right/>
      <top/>
      <bottom/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medium">
        <color indexed="64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Dot">
        <color auto="1"/>
      </left>
      <right style="medium">
        <color indexed="64"/>
      </right>
      <top style="dashDot">
        <color auto="1"/>
      </top>
      <bottom style="dashDot">
        <color auto="1"/>
      </bottom>
      <diagonal/>
    </border>
    <border>
      <left style="medium">
        <color indexed="64"/>
      </left>
      <right style="dashDot">
        <color auto="1"/>
      </right>
      <top style="dashDot">
        <color auto="1"/>
      </top>
      <bottom style="medium">
        <color indexed="64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medium">
        <color indexed="64"/>
      </bottom>
      <diagonal/>
    </border>
    <border>
      <left style="dashDot">
        <color auto="1"/>
      </left>
      <right style="medium">
        <color indexed="64"/>
      </right>
      <top style="dashDot">
        <color auto="1"/>
      </top>
      <bottom style="medium">
        <color indexed="64"/>
      </bottom>
      <diagonal/>
    </border>
    <border>
      <left style="medium">
        <color indexed="64"/>
      </left>
      <right style="dashDot">
        <color auto="1"/>
      </right>
      <top/>
      <bottom style="dashDot">
        <color auto="1"/>
      </bottom>
      <diagonal/>
    </border>
    <border>
      <left style="dashDot">
        <color auto="1"/>
      </left>
      <right style="dashDot">
        <color auto="1"/>
      </right>
      <top/>
      <bottom style="dashDot">
        <color auto="1"/>
      </bottom>
      <diagonal/>
    </border>
    <border>
      <left style="dashDot">
        <color auto="1"/>
      </left>
      <right style="medium">
        <color indexed="64"/>
      </right>
      <top/>
      <bottom style="dashDot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Dot">
        <color auto="1"/>
      </left>
      <right style="dashDotDot">
        <color auto="1"/>
      </right>
      <top style="thin">
        <color auto="1"/>
      </top>
      <bottom style="dashDotDot">
        <color auto="1"/>
      </bottom>
      <diagonal/>
    </border>
    <border>
      <left style="thin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Dot">
        <color auto="1"/>
      </left>
      <right style="thin">
        <color auto="1"/>
      </right>
      <top style="dashDotDot">
        <color auto="1"/>
      </top>
      <bottom style="dashDotDot">
        <color auto="1"/>
      </bottom>
      <diagonal/>
    </border>
    <border>
      <left style="thin">
        <color auto="1"/>
      </left>
      <right style="dashDotDot">
        <color auto="1"/>
      </right>
      <top style="dashDotDot">
        <color auto="1"/>
      </top>
      <bottom style="thin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thin">
        <color auto="1"/>
      </bottom>
      <diagonal/>
    </border>
    <border>
      <left style="dashDotDot">
        <color auto="1"/>
      </left>
      <right style="thin">
        <color auto="1"/>
      </right>
      <top style="dashDotDot">
        <color auto="1"/>
      </top>
      <bottom style="thin">
        <color auto="1"/>
      </bottom>
      <diagonal/>
    </border>
    <border>
      <left style="dashDotDot">
        <color auto="1"/>
      </left>
      <right/>
      <top style="thin">
        <color auto="1"/>
      </top>
      <bottom style="dashDotDot">
        <color auto="1"/>
      </bottom>
      <diagonal/>
    </border>
    <border>
      <left/>
      <right style="dashDotDot">
        <color auto="1"/>
      </right>
      <top style="thin">
        <color auto="1"/>
      </top>
      <bottom style="dashDotDot">
        <color auto="1"/>
      </bottom>
      <diagonal/>
    </border>
    <border>
      <left/>
      <right/>
      <top style="thin">
        <color auto="1"/>
      </top>
      <bottom style="dashDotDot">
        <color auto="1"/>
      </bottom>
      <diagonal/>
    </border>
    <border>
      <left/>
      <right style="thin">
        <color auto="1"/>
      </right>
      <top style="thin">
        <color auto="1"/>
      </top>
      <bottom style="dashDotDot">
        <color auto="1"/>
      </bottom>
      <diagonal/>
    </border>
    <border>
      <left style="thin">
        <color auto="1"/>
      </left>
      <right/>
      <top style="thin">
        <color auto="1"/>
      </top>
      <bottom style="dashDotDot">
        <color auto="1"/>
      </bottom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4" fillId="4" borderId="7" xfId="0" applyFont="1" applyFill="1" applyBorder="1" applyAlignment="1">
      <alignment horizontal="center" vertical="top"/>
    </xf>
    <xf numFmtId="0" fontId="4" fillId="4" borderId="8" xfId="0" applyFont="1" applyFill="1" applyBorder="1" applyAlignment="1">
      <alignment horizontal="center" vertical="top"/>
    </xf>
    <xf numFmtId="0" fontId="4" fillId="4" borderId="9" xfId="0" applyFont="1" applyFill="1" applyBorder="1" applyAlignment="1">
      <alignment horizontal="center" vertical="top"/>
    </xf>
    <xf numFmtId="0" fontId="3" fillId="13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9" borderId="13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11" borderId="13" xfId="0" applyFont="1" applyFill="1" applyBorder="1" applyAlignment="1">
      <alignment horizontal="center" vertical="center"/>
    </xf>
    <xf numFmtId="0" fontId="2" fillId="12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10" borderId="18" xfId="0" applyFont="1" applyFill="1" applyBorder="1" applyAlignment="1">
      <alignment horizontal="center" vertical="center"/>
    </xf>
    <xf numFmtId="0" fontId="2" fillId="12" borderId="18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8" xfId="0" applyFont="1" applyFill="1" applyBorder="1" applyAlignment="1">
      <alignment horizontal="center" vertical="center"/>
    </xf>
    <xf numFmtId="164" fontId="0" fillId="0" borderId="0" xfId="1" applyNumberFormat="1" applyFont="1"/>
    <xf numFmtId="0" fontId="0" fillId="0" borderId="0" xfId="0" applyAlignment="1">
      <alignment horizontal="center"/>
    </xf>
    <xf numFmtId="0" fontId="3" fillId="13" borderId="20" xfId="0" applyFont="1" applyFill="1" applyBorder="1" applyAlignment="1">
      <alignment horizontal="center" vertical="center"/>
    </xf>
    <xf numFmtId="0" fontId="3" fillId="13" borderId="21" xfId="0" applyFont="1" applyFill="1" applyBorder="1" applyAlignment="1">
      <alignment horizontal="center" vertical="center"/>
    </xf>
    <xf numFmtId="0" fontId="3" fillId="13" borderId="22" xfId="0" applyFont="1" applyFill="1" applyBorder="1" applyAlignment="1">
      <alignment horizontal="center" vertical="center"/>
    </xf>
    <xf numFmtId="0" fontId="3" fillId="13" borderId="23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  <xf numFmtId="0" fontId="4" fillId="5" borderId="3" xfId="0" applyFont="1" applyFill="1" applyBorder="1" applyAlignment="1">
      <alignment horizontal="center" vertical="top"/>
    </xf>
    <xf numFmtId="0" fontId="4" fillId="5" borderId="4" xfId="0" applyFont="1" applyFill="1" applyBorder="1" applyAlignment="1">
      <alignment horizontal="center" vertical="top"/>
    </xf>
    <xf numFmtId="0" fontId="4" fillId="5" borderId="5" xfId="0" applyFont="1" applyFill="1" applyBorder="1" applyAlignment="1">
      <alignment horizontal="center" vertical="top"/>
    </xf>
    <xf numFmtId="0" fontId="4" fillId="5" borderId="6" xfId="0" applyFont="1" applyFill="1" applyBorder="1" applyAlignment="1">
      <alignment horizontal="center" vertical="top"/>
    </xf>
    <xf numFmtId="0" fontId="4" fillId="3" borderId="10" xfId="0" applyFont="1" applyFill="1" applyBorder="1" applyAlignment="1">
      <alignment horizontal="center" vertical="top"/>
    </xf>
    <xf numFmtId="0" fontId="6" fillId="3" borderId="11" xfId="0" applyFont="1" applyFill="1" applyBorder="1" applyAlignment="1">
      <alignment horizontal="center" vertical="top"/>
    </xf>
    <xf numFmtId="0" fontId="6" fillId="3" borderId="12" xfId="0" applyFont="1" applyFill="1" applyBorder="1" applyAlignment="1">
      <alignment horizontal="center" vertical="top"/>
    </xf>
    <xf numFmtId="0" fontId="7" fillId="14" borderId="10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/>
    </xf>
    <xf numFmtId="0" fontId="7" fillId="14" borderId="12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FFCCCC"/>
      <color rgb="FFD86ECC"/>
      <color rgb="FFFF66CC"/>
      <color rgb="FFFF99CC"/>
      <color rgb="FFC0E8FA"/>
      <color rgb="FFFF43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123824</xdr:colOff>
      <xdr:row>4</xdr:row>
      <xdr:rowOff>47625</xdr:rowOff>
    </xdr:from>
    <xdr:to>
      <xdr:col>17</xdr:col>
      <xdr:colOff>504824</xdr:colOff>
      <xdr:row>14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F63D1C5-74AB-FB86-6C3B-7D63D65670F9}"/>
            </a:ext>
          </a:extLst>
        </xdr:cNvPr>
        <xdr:cNvSpPr txBox="1"/>
      </xdr:nvSpPr>
      <xdr:spPr>
        <a:xfrm>
          <a:off x="4562474" y="1000125"/>
          <a:ext cx="9115425" cy="1952625"/>
        </a:xfrm>
        <a:prstGeom prst="rect">
          <a:avLst/>
        </a:prstGeom>
        <a:solidFill>
          <a:srgbClr val="FFCC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>
              <a:latin typeface="Century Gothic" panose="020B0502020202020204" pitchFamily="34" charset="0"/>
            </a:rPr>
            <a:t>1. </a:t>
          </a:r>
          <a:r>
            <a:rPr lang="en-IN" sz="1200">
              <a:latin typeface="Century Gothic" panose="020B0502020202020204" pitchFamily="34" charset="0"/>
            </a:rPr>
            <a:t>Use VLOOKUP to find the product names for each ProductID in the Orders worksheet.</a:t>
          </a:r>
        </a:p>
        <a:p>
          <a:r>
            <a:rPr lang="en-IN" sz="1200" b="1">
              <a:latin typeface="Century Gothic" panose="020B0502020202020204" pitchFamily="34" charset="0"/>
            </a:rPr>
            <a:t>2. </a:t>
          </a:r>
          <a:r>
            <a:rPr lang="en-IN" sz="1200">
              <a:latin typeface="Century Gothic" panose="020B0502020202020204" pitchFamily="34" charset="0"/>
            </a:rPr>
            <a:t>Use VLOOKUP to find the price for each ProductID in the Orders worksheet, then calculate the TotalPrice by multiplying the Quantity by the Product Price.</a:t>
          </a:r>
        </a:p>
        <a:p>
          <a:r>
            <a:rPr lang="en-IN" sz="1200" b="1">
              <a:latin typeface="Century Gothic" panose="020B0502020202020204" pitchFamily="34" charset="0"/>
            </a:rPr>
            <a:t>3. </a:t>
          </a:r>
          <a:r>
            <a:rPr lang="en-IN" sz="1200">
              <a:latin typeface="Century Gothic" panose="020B0502020202020204" pitchFamily="34" charset="0"/>
            </a:rPr>
            <a:t>Use VLOOKUP to check if there are any ProductIDs in the Orders worksheet that do not exist in the Products worksheet.</a:t>
          </a:r>
        </a:p>
        <a:p>
          <a:r>
            <a:rPr lang="en-IN" sz="1200" b="1">
              <a:latin typeface="Century Gothic" panose="020B0502020202020204" pitchFamily="34" charset="0"/>
            </a:rPr>
            <a:t>4. </a:t>
          </a:r>
          <a:r>
            <a:rPr lang="en-IN" sz="1200">
              <a:latin typeface="Century Gothic" panose="020B0502020202020204" pitchFamily="34" charset="0"/>
            </a:rPr>
            <a:t>Assume a discount of 10% is given on all products. Use VLOOKUP to find the original price and then calculate the discounted price.</a:t>
          </a:r>
        </a:p>
        <a:p>
          <a:r>
            <a:rPr lang="en-IN" sz="1200" b="1">
              <a:latin typeface="Century Gothic" panose="020B0502020202020204" pitchFamily="34" charset="0"/>
            </a:rPr>
            <a:t>5. </a:t>
          </a:r>
          <a:r>
            <a:rPr lang="en-IN" sz="1200">
              <a:latin typeface="Century Gothic" panose="020B0502020202020204" pitchFamily="34" charset="0"/>
            </a:rPr>
            <a:t>Use VLOOKUP to find the price for each ProductID and then calculate the order value. Find the maximum order value from the list.</a:t>
          </a:r>
        </a:p>
        <a:p>
          <a:r>
            <a:rPr lang="en-IN" sz="1200" b="1">
              <a:latin typeface="Century Gothic" panose="020B0502020202020204" pitchFamily="34" charset="0"/>
            </a:rPr>
            <a:t>6. </a:t>
          </a:r>
          <a:r>
            <a:rPr lang="en-IN" sz="1200">
              <a:latin typeface="Century Gothic" panose="020B0502020202020204" pitchFamily="34" charset="0"/>
            </a:rPr>
            <a:t>Use VLOOKUP to find out which products from the Products worksheet have not been ordered.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C67B0-85B6-4142-8010-4ACF92AE34EE}">
  <dimension ref="D2:R24"/>
  <sheetViews>
    <sheetView workbookViewId="0">
      <selection activeCell="F3" sqref="F3:R3"/>
    </sheetView>
  </sheetViews>
  <sheetFormatPr defaultRowHeight="15" x14ac:dyDescent="0.25"/>
  <cols>
    <col min="4" max="4" width="15.42578125" bestFit="1" customWidth="1"/>
    <col min="5" max="5" width="15.28515625" bestFit="1" customWidth="1"/>
    <col min="6" max="6" width="8.42578125" bestFit="1" customWidth="1"/>
    <col min="8" max="8" width="15.42578125" bestFit="1" customWidth="1"/>
    <col min="9" max="9" width="15.28515625" bestFit="1" customWidth="1"/>
    <col min="10" max="10" width="8.42578125" bestFit="1" customWidth="1"/>
    <col min="11" max="11" width="17.5703125" bestFit="1" customWidth="1"/>
    <col min="12" max="12" width="18.85546875" bestFit="1" customWidth="1"/>
    <col min="13" max="13" width="9.7109375" bestFit="1" customWidth="1"/>
  </cols>
  <sheetData>
    <row r="2" spans="4:18" ht="15.75" thickBot="1" x14ac:dyDescent="0.3"/>
    <row r="3" spans="4:18" ht="30" thickBot="1" x14ac:dyDescent="0.55000000000000004">
      <c r="F3" s="42" t="s">
        <v>20</v>
      </c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4"/>
    </row>
    <row r="4" spans="4:18" x14ac:dyDescent="0.25">
      <c r="D4" s="1"/>
      <c r="E4" s="1"/>
    </row>
    <row r="5" spans="4:18" x14ac:dyDescent="0.25"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</row>
    <row r="6" spans="4:18" x14ac:dyDescent="0.25"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</row>
    <row r="7" spans="4:18" x14ac:dyDescent="0.25"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</row>
    <row r="8" spans="4:18" x14ac:dyDescent="0.25"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</row>
    <row r="9" spans="4:18" x14ac:dyDescent="0.25"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</row>
    <row r="10" spans="4:18" x14ac:dyDescent="0.25"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</row>
    <row r="11" spans="4:18" x14ac:dyDescent="0.25"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</row>
    <row r="12" spans="4:18" x14ac:dyDescent="0.25"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</row>
    <row r="13" spans="4:18" x14ac:dyDescent="0.25"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</row>
    <row r="14" spans="4:18" x14ac:dyDescent="0.25"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</row>
    <row r="15" spans="4:18" x14ac:dyDescent="0.25"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</row>
    <row r="16" spans="4:18" ht="15.75" thickBot="1" x14ac:dyDescent="0.3"/>
    <row r="17" spans="11:13" ht="24.75" thickBot="1" x14ac:dyDescent="0.3">
      <c r="K17" s="39" t="s">
        <v>0</v>
      </c>
      <c r="L17" s="40"/>
      <c r="M17" s="41"/>
    </row>
    <row r="18" spans="11:13" ht="22.5" x14ac:dyDescent="0.25">
      <c r="K18" s="2" t="s">
        <v>1</v>
      </c>
      <c r="L18" s="3" t="s">
        <v>2</v>
      </c>
      <c r="M18" s="4" t="s">
        <v>3</v>
      </c>
    </row>
    <row r="19" spans="11:13" ht="22.5" x14ac:dyDescent="0.25">
      <c r="K19" s="33">
        <v>101</v>
      </c>
      <c r="L19" s="34" t="s">
        <v>4</v>
      </c>
      <c r="M19" s="35">
        <v>120</v>
      </c>
    </row>
    <row r="20" spans="11:13" ht="22.5" x14ac:dyDescent="0.25">
      <c r="K20" s="33">
        <v>102</v>
      </c>
      <c r="L20" s="34" t="s">
        <v>5</v>
      </c>
      <c r="M20" s="35">
        <v>150</v>
      </c>
    </row>
    <row r="21" spans="11:13" ht="22.5" x14ac:dyDescent="0.25">
      <c r="K21" s="33">
        <v>103</v>
      </c>
      <c r="L21" s="34" t="s">
        <v>6</v>
      </c>
      <c r="M21" s="35">
        <v>200</v>
      </c>
    </row>
    <row r="22" spans="11:13" ht="22.5" x14ac:dyDescent="0.25">
      <c r="K22" s="33">
        <v>104</v>
      </c>
      <c r="L22" s="34" t="s">
        <v>7</v>
      </c>
      <c r="M22" s="35">
        <v>90</v>
      </c>
    </row>
    <row r="23" spans="11:13" ht="22.5" x14ac:dyDescent="0.25">
      <c r="K23" s="33">
        <v>105</v>
      </c>
      <c r="L23" s="34" t="s">
        <v>8</v>
      </c>
      <c r="M23" s="35">
        <v>220</v>
      </c>
    </row>
    <row r="24" spans="11:13" ht="23.25" thickBot="1" x14ac:dyDescent="0.3">
      <c r="K24" s="36">
        <v>106</v>
      </c>
      <c r="L24" s="37" t="s">
        <v>9</v>
      </c>
      <c r="M24" s="38">
        <v>30</v>
      </c>
    </row>
  </sheetData>
  <mergeCells count="3">
    <mergeCell ref="K17:M17"/>
    <mergeCell ref="F3:R3"/>
    <mergeCell ref="G5:R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4D3D8-23FF-4BC5-912B-F0389188C3D0}">
  <dimension ref="B3:O19"/>
  <sheetViews>
    <sheetView tabSelected="1" zoomScaleNormal="100" workbookViewId="0">
      <selection activeCell="F28" sqref="F28"/>
    </sheetView>
  </sheetViews>
  <sheetFormatPr defaultRowHeight="15" x14ac:dyDescent="0.25"/>
  <cols>
    <col min="2" max="2" width="11.42578125" bestFit="1" customWidth="1"/>
    <col min="3" max="3" width="14.140625" bestFit="1" customWidth="1"/>
    <col min="4" max="4" width="12.5703125" bestFit="1" customWidth="1"/>
    <col min="5" max="5" width="19.85546875" bestFit="1" customWidth="1"/>
    <col min="6" max="6" width="7.85546875" bestFit="1" customWidth="1"/>
    <col min="7" max="7" width="14.28515625" bestFit="1" customWidth="1"/>
    <col min="8" max="8" width="34.5703125" bestFit="1" customWidth="1"/>
    <col min="9" max="9" width="23" bestFit="1" customWidth="1"/>
    <col min="10" max="10" width="20.5703125" bestFit="1" customWidth="1"/>
    <col min="11" max="11" width="22.85546875" bestFit="1" customWidth="1"/>
    <col min="12" max="12" width="17.5703125" bestFit="1" customWidth="1"/>
    <col min="13" max="13" width="14.7109375" bestFit="1" customWidth="1"/>
    <col min="14" max="14" width="7.85546875" bestFit="1" customWidth="1"/>
    <col min="15" max="15" width="14.28515625" bestFit="1" customWidth="1"/>
  </cols>
  <sheetData>
    <row r="3" spans="2:15" x14ac:dyDescent="0.25">
      <c r="H3" s="26"/>
    </row>
    <row r="11" spans="2:15" ht="18" x14ac:dyDescent="0.25">
      <c r="B11" s="32" t="s">
        <v>13</v>
      </c>
      <c r="C11" s="30"/>
      <c r="D11" s="29"/>
      <c r="E11" s="5" t="s">
        <v>21</v>
      </c>
      <c r="F11" s="28" t="s">
        <v>22</v>
      </c>
      <c r="G11" s="29"/>
      <c r="H11" s="5" t="s">
        <v>23</v>
      </c>
      <c r="I11" s="28" t="s">
        <v>24</v>
      </c>
      <c r="J11" s="29"/>
      <c r="K11" s="5" t="s">
        <v>25</v>
      </c>
      <c r="L11" s="5" t="s">
        <v>26</v>
      </c>
      <c r="M11" s="28" t="s">
        <v>27</v>
      </c>
      <c r="N11" s="30"/>
      <c r="O11" s="31"/>
    </row>
    <row r="12" spans="2:15" ht="18" x14ac:dyDescent="0.25">
      <c r="B12" s="6" t="s">
        <v>10</v>
      </c>
      <c r="C12" s="7" t="s">
        <v>1</v>
      </c>
      <c r="D12" s="7" t="s">
        <v>11</v>
      </c>
      <c r="E12" s="7" t="s">
        <v>14</v>
      </c>
      <c r="F12" s="7" t="s">
        <v>3</v>
      </c>
      <c r="G12" s="7" t="s">
        <v>12</v>
      </c>
      <c r="H12" s="7" t="s">
        <v>15</v>
      </c>
      <c r="I12" s="7" t="s">
        <v>16</v>
      </c>
      <c r="J12" s="7" t="s">
        <v>17</v>
      </c>
      <c r="K12" s="7" t="s">
        <v>18</v>
      </c>
      <c r="L12" s="7" t="s">
        <v>19</v>
      </c>
      <c r="M12" s="7" t="s">
        <v>2</v>
      </c>
      <c r="N12" s="7" t="s">
        <v>3</v>
      </c>
      <c r="O12" s="8" t="s">
        <v>12</v>
      </c>
    </row>
    <row r="13" spans="2:15" ht="18" x14ac:dyDescent="0.25">
      <c r="B13" s="23">
        <v>1</v>
      </c>
      <c r="C13" s="24">
        <v>101</v>
      </c>
      <c r="D13" s="24">
        <v>2</v>
      </c>
      <c r="E13" s="9" t="str">
        <f>VLOOKUP(Orders!C13,Products,2,0)</f>
        <v>Product A</v>
      </c>
      <c r="F13" s="10">
        <f>VLOOKUP(Orders!C13,Products,3,0)</f>
        <v>120</v>
      </c>
      <c r="G13" s="10">
        <f t="shared" ref="G13:G18" si="0">D13*F13</f>
        <v>240</v>
      </c>
      <c r="H13" s="11" t="str">
        <f t="shared" ref="H13:H19" si="1">IF(ISNA(VLOOKUP(C13,Products,2,0)),"Product not Exist","Product Exist")</f>
        <v>Product Exist</v>
      </c>
      <c r="I13" s="12">
        <f>VLOOKUP(C13,Products!$K$18:$M$24,3,0) * 0.9</f>
        <v>108</v>
      </c>
      <c r="J13" s="12">
        <f>D13*I13</f>
        <v>216</v>
      </c>
      <c r="K13" s="13">
        <f>MAX(G13:G18)</f>
        <v>880</v>
      </c>
      <c r="L13" s="14" t="str">
        <f>IF(ISNA(VLOOKUP(C13,Products!$K$19:$K$24,2,0)),"NotOrdered","Ordered")</f>
        <v>Ordered</v>
      </c>
      <c r="M13" s="15" t="str">
        <f>VLOOKUP(C13,Products!$K$18:$M$24,2,0)</f>
        <v>Product A</v>
      </c>
      <c r="N13" s="15">
        <f>VLOOKUP(C13,Products!$K$18:$M$24,3,1)</f>
        <v>120</v>
      </c>
      <c r="O13" s="16">
        <f>D13*N13</f>
        <v>240</v>
      </c>
    </row>
    <row r="14" spans="2:15" ht="18" x14ac:dyDescent="0.25">
      <c r="B14" s="23">
        <v>2</v>
      </c>
      <c r="C14" s="24">
        <v>103</v>
      </c>
      <c r="D14" s="24">
        <v>1</v>
      </c>
      <c r="E14" s="9" t="str">
        <f>VLOOKUP(Orders!C14,Products,2,0)</f>
        <v>Product C</v>
      </c>
      <c r="F14" s="10">
        <f>VLOOKUP(Orders!C14,Products,3,0)</f>
        <v>200</v>
      </c>
      <c r="G14" s="10">
        <f t="shared" si="0"/>
        <v>200</v>
      </c>
      <c r="H14" s="11" t="str">
        <f t="shared" si="1"/>
        <v>Product Exist</v>
      </c>
      <c r="I14" s="12">
        <f>VLOOKUP(C14,Products!$K$18:$M$24,3,0) * 0.9</f>
        <v>180</v>
      </c>
      <c r="J14" s="12">
        <f t="shared" ref="J14:J18" si="2">D14*I14</f>
        <v>180</v>
      </c>
      <c r="K14" s="17"/>
      <c r="L14" s="14" t="str">
        <f>IF(ISNA(VLOOKUP(C14,Products!$K$19:$K$24,2,0)),"NotOrdered","Ordered")</f>
        <v>Ordered</v>
      </c>
      <c r="M14" s="15" t="str">
        <f>VLOOKUP(C14,Products!$K$18:$M$24,2,0)</f>
        <v>Product C</v>
      </c>
      <c r="N14" s="15">
        <f>VLOOKUP(C14,Products!$K$18:$M$24,3,1)</f>
        <v>200</v>
      </c>
      <c r="O14" s="16">
        <f t="shared" ref="O14:O18" si="3">D14*N14</f>
        <v>200</v>
      </c>
    </row>
    <row r="15" spans="2:15" ht="18" x14ac:dyDescent="0.25">
      <c r="B15" s="23">
        <v>3</v>
      </c>
      <c r="C15" s="24">
        <v>105</v>
      </c>
      <c r="D15" s="24">
        <v>4</v>
      </c>
      <c r="E15" s="9" t="str">
        <f>VLOOKUP(Orders!C15,Products,2,0)</f>
        <v>Product E</v>
      </c>
      <c r="F15" s="10">
        <f>VLOOKUP(Orders!C15,Products,3,0)</f>
        <v>220</v>
      </c>
      <c r="G15" s="10">
        <f t="shared" si="0"/>
        <v>880</v>
      </c>
      <c r="H15" s="11" t="str">
        <f t="shared" si="1"/>
        <v>Product Exist</v>
      </c>
      <c r="I15" s="12">
        <f>VLOOKUP(C15,Products!$K$18:$M$24,3,0) * 0.9</f>
        <v>198</v>
      </c>
      <c r="J15" s="12">
        <f t="shared" si="2"/>
        <v>792</v>
      </c>
      <c r="K15" s="17"/>
      <c r="L15" s="14" t="str">
        <f>IF(ISNA(VLOOKUP(C15,Products!$K$19:$K$24,2,0)),"NotOrdered","Ordered")</f>
        <v>Ordered</v>
      </c>
      <c r="M15" s="15" t="str">
        <f>VLOOKUP(C15,Products!$K$18:$M$24,2,0)</f>
        <v>Product E</v>
      </c>
      <c r="N15" s="15">
        <f>VLOOKUP(C15,Products!$K$18:$M$24,3,1)</f>
        <v>220</v>
      </c>
      <c r="O15" s="16">
        <f t="shared" si="3"/>
        <v>880</v>
      </c>
    </row>
    <row r="16" spans="2:15" ht="18" x14ac:dyDescent="0.25">
      <c r="B16" s="23">
        <v>4</v>
      </c>
      <c r="C16" s="24">
        <v>106</v>
      </c>
      <c r="D16" s="24">
        <v>3</v>
      </c>
      <c r="E16" s="9" t="str">
        <f>VLOOKUP(Orders!C16,Products,2,0)</f>
        <v>Product F</v>
      </c>
      <c r="F16" s="10">
        <f>VLOOKUP(Orders!C16,Products,3,0)</f>
        <v>30</v>
      </c>
      <c r="G16" s="10">
        <f t="shared" si="0"/>
        <v>90</v>
      </c>
      <c r="H16" s="11" t="str">
        <f t="shared" si="1"/>
        <v>Product Exist</v>
      </c>
      <c r="I16" s="12">
        <f>VLOOKUP(C16,Products!$K$18:$M$24,3,0) * 0.9</f>
        <v>27</v>
      </c>
      <c r="J16" s="12">
        <f t="shared" si="2"/>
        <v>81</v>
      </c>
      <c r="K16" s="17"/>
      <c r="L16" s="14" t="str">
        <f>IF(ISNA(VLOOKUP(C16,Products!$K$19:$K$24,2,0)),"NotOrdered","Ordered")</f>
        <v>Ordered</v>
      </c>
      <c r="M16" s="15" t="str">
        <f>VLOOKUP(C16,Products!$K$18:$M$24,2,0)</f>
        <v>Product F</v>
      </c>
      <c r="N16" s="15">
        <f>VLOOKUP(C16,Products!$K$18:$M$24,3,1)</f>
        <v>30</v>
      </c>
      <c r="O16" s="16">
        <f t="shared" si="3"/>
        <v>90</v>
      </c>
    </row>
    <row r="17" spans="2:15" ht="18" x14ac:dyDescent="0.25">
      <c r="B17" s="23">
        <v>5</v>
      </c>
      <c r="C17" s="24">
        <v>102</v>
      </c>
      <c r="D17" s="24">
        <v>5</v>
      </c>
      <c r="E17" s="9" t="str">
        <f>VLOOKUP(Orders!C17,Products,2,0)</f>
        <v>Product B</v>
      </c>
      <c r="F17" s="10">
        <f>VLOOKUP(Orders!C17,Products,3,0)</f>
        <v>150</v>
      </c>
      <c r="G17" s="10">
        <f t="shared" si="0"/>
        <v>750</v>
      </c>
      <c r="H17" s="11" t="str">
        <f t="shared" si="1"/>
        <v>Product Exist</v>
      </c>
      <c r="I17" s="12">
        <f>VLOOKUP(C17,Products!$K$18:$M$24,3,0) * 0.9</f>
        <v>135</v>
      </c>
      <c r="J17" s="12">
        <f t="shared" si="2"/>
        <v>675</v>
      </c>
      <c r="K17" s="17"/>
      <c r="L17" s="14" t="str">
        <f>IF(ISNA(VLOOKUP(C17,Products!$K$19:$K$24,2,0)),"NotOrdered","Ordered")</f>
        <v>Ordered</v>
      </c>
      <c r="M17" s="15" t="str">
        <f>VLOOKUP(C17,Products!$K$18:$M$24,2,0)</f>
        <v>Product B</v>
      </c>
      <c r="N17" s="15">
        <f>VLOOKUP(C17,Products!$K$18:$M$24,3,1)</f>
        <v>150</v>
      </c>
      <c r="O17" s="16">
        <f t="shared" si="3"/>
        <v>750</v>
      </c>
    </row>
    <row r="18" spans="2:15" ht="18" x14ac:dyDescent="0.25">
      <c r="B18" s="23">
        <v>6</v>
      </c>
      <c r="C18" s="24">
        <v>104</v>
      </c>
      <c r="D18" s="24">
        <v>6</v>
      </c>
      <c r="E18" s="9" t="str">
        <f>VLOOKUP(Orders!C18,Products,2,0)</f>
        <v>Product D</v>
      </c>
      <c r="F18" s="10">
        <f>VLOOKUP(Orders!C18,Products,3,0)</f>
        <v>90</v>
      </c>
      <c r="G18" s="10">
        <f t="shared" si="0"/>
        <v>540</v>
      </c>
      <c r="H18" s="11" t="str">
        <f t="shared" si="1"/>
        <v>Product Exist</v>
      </c>
      <c r="I18" s="12">
        <f>VLOOKUP(C18,Products!$K$18:$M$24,3,0) * 0.9</f>
        <v>81</v>
      </c>
      <c r="J18" s="12">
        <f t="shared" si="2"/>
        <v>486</v>
      </c>
      <c r="K18" s="17"/>
      <c r="L18" s="14" t="str">
        <f>IF(ISNA(VLOOKUP(C18,Products!$K$19:$K$24,2,0)),"NotOrdered","Ordered")</f>
        <v>Ordered</v>
      </c>
      <c r="M18" s="15" t="str">
        <f>VLOOKUP(C18,Products!$K$18:$M$24,2,0)</f>
        <v>Product D</v>
      </c>
      <c r="N18" s="15">
        <f>VLOOKUP(C18,Products!$K$18:$M$24,3,1)</f>
        <v>90</v>
      </c>
      <c r="O18" s="16">
        <f t="shared" si="3"/>
        <v>540</v>
      </c>
    </row>
    <row r="19" spans="2:15" ht="18" x14ac:dyDescent="0.25">
      <c r="B19" s="18"/>
      <c r="C19" s="25">
        <v>150</v>
      </c>
      <c r="D19" s="19"/>
      <c r="E19" s="19"/>
      <c r="F19" s="19"/>
      <c r="G19" s="19"/>
      <c r="H19" s="20" t="str">
        <f t="shared" si="1"/>
        <v>Product not Exist</v>
      </c>
      <c r="I19" s="19"/>
      <c r="J19" s="19"/>
      <c r="K19" s="19"/>
      <c r="L19" s="21" t="str">
        <f>IF(ISNA(VLOOKUP(C19,Products!$K$19:$K$24,2,0)),"NotOrdered","Ordered")</f>
        <v>NotOrdered</v>
      </c>
      <c r="M19" s="19"/>
      <c r="N19" s="19"/>
      <c r="O19" s="22"/>
    </row>
  </sheetData>
  <mergeCells count="4">
    <mergeCell ref="I11:J11"/>
    <mergeCell ref="M11:O11"/>
    <mergeCell ref="F11:G11"/>
    <mergeCell ref="B11:D1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Products</vt:lpstr>
      <vt:lpstr>Orders</vt:lpstr>
      <vt:lpstr>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Aakash Mitra</dc:creator>
  <cp:lastModifiedBy>Aakash Mitra</cp:lastModifiedBy>
  <dcterms:created xsi:type="dcterms:W3CDTF">2025-11-26T05:19:22Z</dcterms:created>
  <dcterms:modified xsi:type="dcterms:W3CDTF">2025-12-15T14:19:50Z</dcterms:modified>
</cp:coreProperties>
</file>
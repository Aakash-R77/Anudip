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588B7D82-5EBD-40B0-A2E5-838311D7EAE2}" xr6:coauthVersionLast="47" xr6:coauthVersionMax="47" xr10:uidLastSave="{00000000-0000-0000-0000-000000000000}"/>
  <bookViews>
    <workbookView xWindow="-120" yWindow="-120" windowWidth="29040" windowHeight="15840" xr2:uid="{B1CEFD41-BD21-42EC-A256-93D3619B01B6}"/>
  </bookViews>
  <sheets>
    <sheet name="SalesData" sheetId="1" r:id="rId1"/>
  </sheets>
  <definedNames>
    <definedName name="SalesData">SalesData!$I$15:$P$21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7" i="1" l="1"/>
  <c r="V21" i="1"/>
  <c r="S21" i="1"/>
  <c r="W17" i="1"/>
  <c r="S17" i="1"/>
  <c r="P26" i="1" l="1"/>
  <c r="M26" i="1"/>
  <c r="J26" i="1"/>
</calcChain>
</file>

<file path=xl/sharedStrings.xml><?xml version="1.0" encoding="utf-8"?>
<sst xmlns="http://schemas.openxmlformats.org/spreadsheetml/2006/main" count="56" uniqueCount="32">
  <si>
    <t>ProductID</t>
  </si>
  <si>
    <t>Product</t>
  </si>
  <si>
    <t>Category</t>
  </si>
  <si>
    <t>Jan</t>
  </si>
  <si>
    <t>Feb</t>
  </si>
  <si>
    <t>Mar</t>
  </si>
  <si>
    <t>Apr</t>
  </si>
  <si>
    <t>May</t>
  </si>
  <si>
    <t>Electronics</t>
  </si>
  <si>
    <t>Furniture</t>
  </si>
  <si>
    <t>Clothing</t>
  </si>
  <si>
    <t>Assignment-5</t>
  </si>
  <si>
    <t>ProdC</t>
  </si>
  <si>
    <t>ProdA</t>
  </si>
  <si>
    <t>ProdB</t>
  </si>
  <si>
    <t>ProdD</t>
  </si>
  <si>
    <t>ProdE</t>
  </si>
  <si>
    <t>ProdF</t>
  </si>
  <si>
    <t>Max Sale</t>
  </si>
  <si>
    <t>Ans 2.</t>
  </si>
  <si>
    <t>Ans 1.</t>
  </si>
  <si>
    <t>Ans 3.</t>
  </si>
  <si>
    <t>Ans 4.</t>
  </si>
  <si>
    <t>MaxSale Month</t>
  </si>
  <si>
    <t>Month</t>
  </si>
  <si>
    <t>Ans 5.</t>
  </si>
  <si>
    <t>Sales</t>
  </si>
  <si>
    <t>Ans 6.</t>
  </si>
  <si>
    <t>Month Sales</t>
  </si>
  <si>
    <t>Ans 7.</t>
  </si>
  <si>
    <t>Ans 8.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</si>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</sst>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sz val="22"/>
      <color theme="1"/>
      <name val="Bahnschrift"/>
      <family val="2"/>
    </font>
    <font>
      <sz val="8"/>
      <name val="Aptos Narrow"/>
      <family val="2"/>
      <scheme val="minor"/>
    </font>
    <font>
      <b/>
      <sz val="19"/>
      <color theme="1"/>
      <name val="Century Gothic"/>
      <family val="2"/>
    </font>
    <font>
      <sz val="19"/>
      <color theme="1"/>
      <name val="Aptos Narrow"/>
      <family val="2"/>
      <scheme val="minor"/>
    </font>
    <font>
      <sz val="19"/>
      <color theme="1"/>
      <name val="Aptos Narrow"/>
      <scheme val="minor"/>
    </font>
    <font>
      <b/>
      <i/>
      <sz val="19"/>
      <color theme="1"/>
      <name val="Aptos Narrow"/>
      <scheme val="minor"/>
    </font>
    <font>
      <b/>
      <sz val="19"/>
      <color theme="1"/>
      <name val="Aptos Narrow"/>
      <scheme val="minor"/>
    </font>
    <font>
      <b/>
      <sz val="2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0E8FA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2CEE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/>
    <xf numFmtId="0" fontId="0" fillId="0" borderId="0" xfId="0" applyAlignment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CEEF"/>
      <color rgb="FFB5E6A2"/>
      <color rgb="FFC0E6F5"/>
      <color rgb="FFFFCCCC"/>
      <color rgb="FFC0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10583</xdr:colOff>
      <xdr:row>3</xdr:row>
      <xdr:rowOff>21166</xdr:rowOff>
    </xdr:from>
    <xdr:to>
      <xdr:col>20</xdr:col>
      <xdr:colOff>1301750</xdr:colOff>
      <xdr:row>12</xdr:row>
      <xdr:rowOff>275166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F69FA2-AC1C-6380-7442-05655554D980}"/>
            </a:ext>
          </a:extLst>
        </xdr:cNvPr>
        <xdr:cNvSpPr txBox="1"/>
      </xdr:nvSpPr>
      <xdr:spPr>
        <a:xfrm>
          <a:off x="7207250" y="740833"/>
          <a:ext cx="12467167" cy="1873250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1.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find the sales for Product C in March. 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2.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find the category for Product E. 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3.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find the maximum sales for Product B across all months.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4.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find the month with the maximum sales for Product A. 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5.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INDEX, MATCH, and SUMIF to sum the sales for all products in the "Electronics" category for April. 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6.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calculate the average sales for Product D across all months. 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7.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find the sales for Product ID 105 in May.</a:t>
          </a:r>
        </a:p>
        <a:p>
          <a:pPr rtl="0"/>
          <a:r>
            <a:rPr lang="en-IN" sz="13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8.</a:t>
          </a:r>
          <a:r>
            <a:rPr lang="en-IN" sz="13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INDEX and MATCH to create a dynamic lookup where the user can input a product and a month, and the formula returns the corresponding sales.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ED2C-7788-4C99-8A69-51BB9BE024E9}">
  <dimension ref="H1:AD27"/>
  <sheetViews>
    <sheetView tabSelected="1" topLeftCell="F1" zoomScaleNormal="100" workbookViewId="0">
      <selection activeCell="H7" sqref="H7"/>
    </sheetView>
  </sheetViews>
  <sheetFormatPr defaultRowHeight="14.25"/>
  <cols>
    <col min="8" max="9" width="15.5" bestFit="1" customWidth="1"/>
    <col min="10" max="10" width="12.375" bestFit="1" customWidth="1"/>
    <col min="11" max="11" width="17.75" bestFit="1" customWidth="1"/>
    <col min="12" max="12" width="13.125" bestFit="1" customWidth="1"/>
    <col min="13" max="13" width="14.875" bestFit="1" customWidth="1"/>
    <col min="14" max="14" width="7.125" bestFit="1" customWidth="1"/>
    <col min="15" max="15" width="13.125" bestFit="1" customWidth="1"/>
    <col min="16" max="16" width="15" bestFit="1" customWidth="1"/>
    <col min="18" max="18" width="13.125" bestFit="1" customWidth="1"/>
    <col min="19" max="19" width="24.5" bestFit="1" customWidth="1"/>
    <col min="20" max="20" width="10.125" bestFit="1" customWidth="1"/>
    <col min="21" max="21" width="17.375" bestFit="1" customWidth="1"/>
    <col min="22" max="22" width="10.125" bestFit="1" customWidth="1"/>
    <col min="23" max="23" width="9.375" bestFit="1" customWidth="1"/>
    <col min="24" max="24" width="12.375" bestFit="1" customWidth="1"/>
    <col min="25" max="25" width="15" bestFit="1" customWidth="1"/>
    <col min="26" max="26" width="7.5" bestFit="1" customWidth="1"/>
    <col min="27" max="27" width="12.375" bestFit="1" customWidth="1"/>
    <col min="28" max="28" width="23.625" bestFit="1" customWidth="1"/>
    <col min="29" max="29" width="12.375" bestFit="1" customWidth="1"/>
    <col min="30" max="30" width="10.125" bestFit="1" customWidth="1"/>
  </cols>
  <sheetData>
    <row r="1" spans="8:30" ht="15" thickBot="1"/>
    <row r="2" spans="8:30" ht="30" thickBot="1">
      <c r="H2" s="23" t="s">
        <v>11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4" spans="8:30"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8:30"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3"/>
    </row>
    <row r="6" spans="8:30"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3"/>
    </row>
    <row r="7" spans="8:30"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3"/>
    </row>
    <row r="8" spans="8:30"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3"/>
    </row>
    <row r="9" spans="8:30"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3"/>
    </row>
    <row r="10" spans="8:30"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3"/>
    </row>
    <row r="11" spans="8:30"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3"/>
    </row>
    <row r="12" spans="8:30"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3"/>
    </row>
    <row r="13" spans="8:30" ht="23.25"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3"/>
      <c r="W13" s="2"/>
      <c r="Z13" s="2"/>
      <c r="AC13" s="2"/>
      <c r="AD13" s="2"/>
    </row>
    <row r="14" spans="8:30" ht="24.75" thickBot="1">
      <c r="P14" s="1"/>
      <c r="Q14" s="1"/>
      <c r="T14" s="2"/>
      <c r="W14" s="2"/>
      <c r="Z14" s="2"/>
      <c r="AC14" s="2"/>
      <c r="AD14" s="2"/>
    </row>
    <row r="15" spans="8:30" ht="24">
      <c r="I15" s="4" t="s">
        <v>0</v>
      </c>
      <c r="J15" s="5" t="s">
        <v>1</v>
      </c>
      <c r="K15" s="5" t="s">
        <v>2</v>
      </c>
      <c r="L15" s="5" t="s">
        <v>3</v>
      </c>
      <c r="M15" s="5" t="s">
        <v>4</v>
      </c>
      <c r="N15" s="5" t="s">
        <v>5</v>
      </c>
      <c r="O15" s="5" t="s">
        <v>6</v>
      </c>
      <c r="P15" s="6" t="s">
        <v>7</v>
      </c>
      <c r="Q15" s="1"/>
      <c r="R15" s="12" t="s">
        <v>22</v>
      </c>
      <c r="S15" s="12"/>
      <c r="T15" s="2"/>
      <c r="U15" s="12" t="s">
        <v>25</v>
      </c>
      <c r="V15" s="12"/>
      <c r="W15" s="12"/>
      <c r="Z15" s="2"/>
      <c r="AC15" s="2"/>
      <c r="AD15" s="2"/>
    </row>
    <row r="16" spans="8:30" ht="24">
      <c r="I16" s="17">
        <v>101</v>
      </c>
      <c r="J16" s="18" t="s">
        <v>13</v>
      </c>
      <c r="K16" s="18" t="s">
        <v>8</v>
      </c>
      <c r="L16" s="18">
        <v>120</v>
      </c>
      <c r="M16" s="18">
        <v>130</v>
      </c>
      <c r="N16" s="18">
        <v>140</v>
      </c>
      <c r="O16" s="18">
        <v>150</v>
      </c>
      <c r="P16" s="19">
        <v>160</v>
      </c>
      <c r="R16" s="11" t="s">
        <v>1</v>
      </c>
      <c r="S16" s="11" t="s">
        <v>23</v>
      </c>
      <c r="T16" s="2"/>
      <c r="U16" s="11" t="s">
        <v>2</v>
      </c>
      <c r="V16" s="11" t="s">
        <v>24</v>
      </c>
      <c r="W16" s="11" t="s">
        <v>26</v>
      </c>
      <c r="X16" s="2"/>
      <c r="Y16" s="2"/>
      <c r="Z16" s="2"/>
      <c r="AA16" s="2"/>
      <c r="AB16" s="2"/>
      <c r="AC16" s="2"/>
      <c r="AD16" s="2"/>
    </row>
    <row r="17" spans="9:30" ht="23.25">
      <c r="I17" s="17">
        <v>102</v>
      </c>
      <c r="J17" s="18" t="s">
        <v>14</v>
      </c>
      <c r="K17" s="18" t="s">
        <v>9</v>
      </c>
      <c r="L17" s="18">
        <v>150</v>
      </c>
      <c r="M17" s="18">
        <v>160</v>
      </c>
      <c r="N17" s="18">
        <v>170</v>
      </c>
      <c r="O17" s="18">
        <v>180</v>
      </c>
      <c r="P17" s="19">
        <v>190</v>
      </c>
      <c r="R17" s="7" t="s">
        <v>17</v>
      </c>
      <c r="S17" s="7" t="str">
        <f>INDEX(L15:P15,MATCH(MAX(L16:L21),L16:L21,0))</f>
        <v>May</v>
      </c>
      <c r="T17" s="2"/>
      <c r="U17" s="7" t="s">
        <v>8</v>
      </c>
      <c r="V17" s="7" t="s">
        <v>6</v>
      </c>
      <c r="W17" s="7">
        <f>SUMIF($K$16:$K$21,U17,INDEX($L$16:$P$21,0,MATCH(O15,$L$15:$P$15,0)))</f>
        <v>540</v>
      </c>
      <c r="X17" s="2"/>
      <c r="Y17" s="2"/>
      <c r="Z17" s="2"/>
      <c r="AA17" s="2"/>
      <c r="AB17" s="2"/>
      <c r="AC17" s="2"/>
      <c r="AD17" s="2"/>
    </row>
    <row r="18" spans="9:30" ht="23.25">
      <c r="I18" s="17">
        <v>103</v>
      </c>
      <c r="J18" s="18" t="s">
        <v>12</v>
      </c>
      <c r="K18" s="18" t="s">
        <v>8</v>
      </c>
      <c r="L18" s="18">
        <v>200</v>
      </c>
      <c r="M18" s="18">
        <v>210</v>
      </c>
      <c r="N18" s="18">
        <v>220</v>
      </c>
      <c r="O18" s="18">
        <v>230</v>
      </c>
      <c r="P18" s="19">
        <v>240</v>
      </c>
      <c r="U18" s="2"/>
      <c r="X18" s="2"/>
      <c r="AA18" s="2"/>
    </row>
    <row r="19" spans="9:30" ht="23.25">
      <c r="I19" s="17">
        <v>104</v>
      </c>
      <c r="J19" s="18" t="s">
        <v>15</v>
      </c>
      <c r="K19" s="18" t="s">
        <v>10</v>
      </c>
      <c r="L19" s="18">
        <v>90</v>
      </c>
      <c r="M19" s="18">
        <v>100</v>
      </c>
      <c r="N19" s="18">
        <v>110</v>
      </c>
      <c r="O19" s="18">
        <v>120</v>
      </c>
      <c r="P19" s="19">
        <v>130</v>
      </c>
      <c r="R19" s="12" t="s">
        <v>27</v>
      </c>
      <c r="S19" s="12"/>
      <c r="U19" s="12" t="s">
        <v>29</v>
      </c>
      <c r="V19" s="12"/>
      <c r="X19" s="2"/>
      <c r="AA19" s="2"/>
    </row>
    <row r="20" spans="9:30" ht="24">
      <c r="I20" s="17">
        <v>105</v>
      </c>
      <c r="J20" s="18" t="s">
        <v>16</v>
      </c>
      <c r="K20" s="18" t="s">
        <v>9</v>
      </c>
      <c r="L20" s="18">
        <v>220</v>
      </c>
      <c r="M20" s="18">
        <v>230</v>
      </c>
      <c r="N20" s="18">
        <v>240</v>
      </c>
      <c r="O20" s="18">
        <v>250</v>
      </c>
      <c r="P20" s="19">
        <v>260</v>
      </c>
      <c r="R20" s="11" t="s">
        <v>1</v>
      </c>
      <c r="S20" s="11" t="s">
        <v>28</v>
      </c>
      <c r="U20" s="11" t="s">
        <v>31</v>
      </c>
      <c r="V20" s="11" t="s">
        <v>7</v>
      </c>
      <c r="X20" s="2"/>
      <c r="AA20" s="2"/>
    </row>
    <row r="21" spans="9:30" ht="24" thickBot="1">
      <c r="I21" s="20">
        <v>106</v>
      </c>
      <c r="J21" s="21" t="s">
        <v>17</v>
      </c>
      <c r="K21" s="21" t="s">
        <v>8</v>
      </c>
      <c r="L21" s="21">
        <v>130</v>
      </c>
      <c r="M21" s="21">
        <v>140</v>
      </c>
      <c r="N21" s="21">
        <v>150</v>
      </c>
      <c r="O21" s="21">
        <v>160</v>
      </c>
      <c r="P21" s="22">
        <v>170</v>
      </c>
      <c r="R21" s="8" t="s">
        <v>15</v>
      </c>
      <c r="S21" s="8">
        <f>AVERAGE(INDEX(L16:P21,MATCH(R21,J16:J21),))</f>
        <v>110</v>
      </c>
      <c r="T21" s="2"/>
      <c r="U21" s="7">
        <v>105</v>
      </c>
      <c r="V21" s="7">
        <f>INDEX(L16:P21,MATCH(U21,I16:I21,0),MATCH(V20,L15:P15,0))</f>
        <v>260</v>
      </c>
      <c r="W21" s="2"/>
      <c r="X21" s="2"/>
      <c r="Y21" s="2"/>
      <c r="Z21" s="2"/>
      <c r="AA21" s="2"/>
    </row>
    <row r="24" spans="9:30" ht="23.25">
      <c r="I24" s="12" t="s">
        <v>20</v>
      </c>
      <c r="J24" s="12"/>
      <c r="L24" s="12" t="s">
        <v>19</v>
      </c>
      <c r="M24" s="12"/>
      <c r="O24" s="12" t="s">
        <v>21</v>
      </c>
      <c r="P24" s="12"/>
      <c r="R24" s="2"/>
      <c r="S24" s="12" t="s">
        <v>30</v>
      </c>
      <c r="T24" s="12"/>
    </row>
    <row r="25" spans="9:30" ht="24">
      <c r="I25" s="11" t="s">
        <v>1</v>
      </c>
      <c r="J25" s="11" t="s">
        <v>5</v>
      </c>
      <c r="L25" s="11" t="s">
        <v>1</v>
      </c>
      <c r="M25" s="11" t="s">
        <v>2</v>
      </c>
      <c r="O25" s="11" t="s">
        <v>1</v>
      </c>
      <c r="P25" s="11" t="s">
        <v>18</v>
      </c>
      <c r="R25" s="2"/>
      <c r="S25" s="11" t="s">
        <v>1</v>
      </c>
      <c r="T25" s="11" t="s">
        <v>24</v>
      </c>
    </row>
    <row r="26" spans="9:30" ht="23.25">
      <c r="I26" s="9" t="s">
        <v>12</v>
      </c>
      <c r="J26" s="9">
        <f>INDEX(SalesData,MATCH(I26,J15:J21,0),MATCH(J25,I15:P15))</f>
        <v>220</v>
      </c>
      <c r="L26" s="7" t="s">
        <v>16</v>
      </c>
      <c r="M26" s="7" t="str">
        <f>INDEX(K16:K21,MATCH(L26,J16:J21,0))</f>
        <v>Furniture</v>
      </c>
      <c r="O26" s="7" t="s">
        <v>14</v>
      </c>
      <c r="P26" s="7">
        <f>MAX(INDEX(L16:P21,MATCH(O26,J16:J21,0),))</f>
        <v>190</v>
      </c>
      <c r="R26" s="2"/>
      <c r="S26" s="7" t="s">
        <v>13</v>
      </c>
      <c r="T26" s="7" t="s">
        <v>7</v>
      </c>
    </row>
    <row r="27" spans="9:30" ht="23.25">
      <c r="R27" s="10" t="s">
        <v>26</v>
      </c>
      <c r="S27" s="13">
        <f>INDEX(L16:P21,MATCH(S26,J16:J21,0),MATCH(T26,L15:P15,0))</f>
        <v>160</v>
      </c>
      <c r="T27" s="13"/>
    </row>
  </sheetData>
  <mergeCells count="11">
    <mergeCell ref="S24:T24"/>
    <mergeCell ref="S27:T27"/>
    <mergeCell ref="H2:W2"/>
    <mergeCell ref="J4:U13"/>
    <mergeCell ref="I24:J24"/>
    <mergeCell ref="L24:M24"/>
    <mergeCell ref="O24:P24"/>
    <mergeCell ref="R15:S15"/>
    <mergeCell ref="U15:W15"/>
    <mergeCell ref="R19:S19"/>
    <mergeCell ref="U19:V19"/>
  </mergeCells>
  <phoneticPr fontId="4" type="noConversion"/>
  <dataValidations disablePrompts="1" count="1">
    <dataValidation type="list" allowBlank="1" showInputMessage="1" showErrorMessage="1" sqref="R17 S26" xr:uid="{28B143F3-7C31-4C22-9B6D-E9DD5CD90046}">
      <formula1>$J$16:$J$21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2025-12-02T16:00:43Z</dcterms:created>
  <dcterms:modified xsi:type="dcterms:W3CDTF">2025-12-15T14:33:56Z</dcterms:modified>
</cp:coreProperties>
</file>